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8800" windowHeight="11625"/>
  </bookViews>
  <sheets>
    <sheet name="행렬미분_구현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7" i="1"/>
  <c r="C15" i="1" l="1"/>
  <c r="C13" i="1"/>
  <c r="C12" i="1"/>
  <c r="C14" i="1"/>
  <c r="C16" i="1"/>
  <c r="C11" i="1"/>
  <c r="C7" i="1"/>
  <c r="C8" i="1"/>
  <c r="C9" i="1"/>
  <c r="C10" i="1"/>
  <c r="F24" i="1"/>
  <c r="J24" i="1" s="1"/>
  <c r="D28" i="1" l="1" a="1"/>
  <c r="N24" i="1"/>
  <c r="H28" i="1"/>
  <c r="H32" i="1" s="1"/>
  <c r="D29" i="1" l="1"/>
  <c r="D33" i="1" s="1"/>
  <c r="D28" i="1"/>
  <c r="D32" i="1" s="1"/>
</calcChain>
</file>

<file path=xl/comments1.xml><?xml version="1.0" encoding="utf-8"?>
<comments xmlns="http://schemas.openxmlformats.org/spreadsheetml/2006/main">
  <authors>
    <author>만든 이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=RAND()*2-1
랜덤한값
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=RAND()*6-3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=RAND()*6-3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=MMULT(A7:B7,$D$24:$D$25)+$H$24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<sst xmlns="http://schemas.openxmlformats.org/spreadsheetml/2006/main" count="25" uniqueCount="23">
  <si>
    <t>w1</t>
  </si>
  <si>
    <t>x1</t>
  </si>
  <si>
    <t>x2</t>
  </si>
  <si>
    <t>Y</t>
  </si>
  <si>
    <t>Y_pred</t>
  </si>
  <si>
    <t>Loss</t>
  </si>
  <si>
    <t>w2</t>
  </si>
  <si>
    <t>bias</t>
  </si>
  <si>
    <t>랜덤값</t>
  </si>
  <si>
    <t>LOSS=(Y_P - Y_T)^2</t>
  </si>
  <si>
    <t>learning rate</t>
  </si>
  <si>
    <t>Y=W1*X1 + W2*X2 + BIAS</t>
  </si>
  <si>
    <t>W</t>
  </si>
  <si>
    <t>XW</t>
  </si>
  <si>
    <t>b</t>
  </si>
  <si>
    <t>Y_P</t>
  </si>
  <si>
    <t>Y_T</t>
  </si>
  <si>
    <t>B_new</t>
  </si>
  <si>
    <t>dL_dW</t>
  </si>
  <si>
    <t>w_new</t>
  </si>
  <si>
    <t>loss</t>
  </si>
  <si>
    <t>dL_dbias</t>
  </si>
  <si>
    <t>행렬미분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</si>
</sst>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43" formatCode="_-* #,##0.00_-;\-* #,##0.00_-;_-* &quot;-&quot;??_-;_-@_-"/>
    <numFmt numFmtId="164" formatCode="_-* #,##0.00_-;\-* #,##0.00_-;_-* &quot;-&quot;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164" fontId="2" fillId="0" borderId="4" xfId="1" applyNumberFormat="1" applyFont="1" applyBorder="1"/>
    <xf numFmtId="164" fontId="2" fillId="0" borderId="0" xfId="1" applyNumberFormat="1" applyFont="1" applyBorder="1"/>
    <xf numFmtId="43" fontId="2" fillId="0" borderId="0" xfId="0" applyNumberFormat="1" applyFont="1" applyBorder="1"/>
    <xf numFmtId="164" fontId="2" fillId="0" borderId="6" xfId="1" applyNumberFormat="1" applyFont="1" applyBorder="1"/>
    <xf numFmtId="164" fontId="2" fillId="0" borderId="7" xfId="1" applyNumberFormat="1" applyFont="1" applyBorder="1"/>
    <xf numFmtId="43" fontId="2" fillId="0" borderId="7" xfId="0" applyNumberFormat="1" applyFont="1" applyBorder="1"/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실제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행렬미분_구현!$C$7:$C$16</c:f>
              <c:numCache>
                <c:formatCode>_-* #,##0.00_-;\-* #,##0.00_-;_-* "-"_-;_-@_-</c:formatCode>
                <c:ptCount val="10"/>
                <c:pt idx="0">
                  <c:v>-4.8631837929616619</c:v>
                </c:pt>
                <c:pt idx="1">
                  <c:v>9.5477661101331694</c:v>
                </c:pt>
                <c:pt idx="2">
                  <c:v>-7.605404087475673</c:v>
                </c:pt>
                <c:pt idx="3">
                  <c:v>-6.5666607476822758</c:v>
                </c:pt>
                <c:pt idx="4">
                  <c:v>4.2623532995635269</c:v>
                </c:pt>
                <c:pt idx="5">
                  <c:v>4.1433417218157942</c:v>
                </c:pt>
                <c:pt idx="6">
                  <c:v>-0.51639556526769193</c:v>
                </c:pt>
                <c:pt idx="7">
                  <c:v>2.8761180979472512</c:v>
                </c:pt>
                <c:pt idx="8">
                  <c:v>1.4031546023270174</c:v>
                </c:pt>
                <c:pt idx="9">
                  <c:v>-4.7975478354133934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8-4A03-9712-FEC870B6D5AB}"/>
            </c:ext>
          </c:extLst>
        </c:ser>
        <c:ser>
          <c:idx val="1"/>
          <c:order val="1"/>
          <c:tx>
            <c:v>예측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행렬미분_구현!$D$7:$D$16</c:f>
              <c:numCache>
                <c:formatCode>_(* #,##0.00_);_(* \(#,##0.00\);_(* "-"??_);_(@_)</c:formatCode>
                <c:ptCount val="10"/>
                <c:pt idx="0">
                  <c:v>2.0783307217565994E-2</c:v>
                </c:pt>
                <c:pt idx="1">
                  <c:v>0.36783348797368987</c:v>
                </c:pt>
                <c:pt idx="2">
                  <c:v>1.0356097207714199</c:v>
                </c:pt>
                <c:pt idx="3">
                  <c:v>0.43985691011492167</c:v>
                </c:pt>
                <c:pt idx="4">
                  <c:v>1.3565852047554725</c:v>
                </c:pt>
                <c:pt idx="5">
                  <c:v>0.96571638752871303</c:v>
                </c:pt>
                <c:pt idx="6">
                  <c:v>0.93468942286678502</c:v>
                </c:pt>
                <c:pt idx="7">
                  <c:v>0.75555729961566875</c:v>
                </c:pt>
                <c:pt idx="8">
                  <c:v>1.087357356690176</c:v>
                </c:pt>
                <c:pt idx="9">
                  <c:v>-0.12326879624979348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8-4A03-9712-FEC870B6D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187120"/>
        <c:axId val="1972193776"/>
      </c:scatterChart>
      <c:valAx>
        <c:axId val="197218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193776"/>
        <c:crosses val="autoZero"/>
        <c:crossBetween val="midCat"/>
      </c:valAx>
      <c:valAx>
        <c:axId val="197219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218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61910</xdr:rowOff>
    </xdr:from>
    <xdr:to>
      <xdr:col>13</xdr:col>
      <xdr:colOff>438151</xdr:colOff>
      <xdr:row>17</xdr:row>
      <xdr:rowOff>85724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18</xdr:row>
          <xdr:rowOff>28575</xdr:rowOff>
        </xdr:from>
        <xdr:to>
          <xdr:col>8</xdr:col>
          <xdr:colOff>495300</xdr:colOff>
          <xdr:row>19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최적화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18</xdr:row>
          <xdr:rowOff>47625</xdr:rowOff>
        </xdr:from>
        <xdr:to>
          <xdr:col>9</xdr:col>
          <xdr:colOff>438150</xdr:colOff>
          <xdr:row>19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F30" sqref="F30"/>
    </sheetView>
  </sheetViews>
  <sheetFormatPr defaultRowHeight="13.5" x14ac:dyDescent="0.25"/>
  <cols>
    <col min="1" max="1" width="13.85546875" style="1" customWidth="1"/>
    <col min="2" max="2" width="9.140625" style="1" customWidth="1"/>
    <col min="3" max="16384" width="9.140625" style="1"/>
  </cols>
  <sheetData>
    <row r="1" spans="1:7" x14ac:dyDescent="0.25">
      <c r="A1" s="2" t="s">
        <v>10</v>
      </c>
      <c r="B1" s="3">
        <v>0.01</v>
      </c>
      <c r="C1" s="3"/>
      <c r="D1" s="3" t="s">
        <v>8</v>
      </c>
      <c r="E1" s="4">
        <v>0.83266397050322505</v>
      </c>
      <c r="G1" s="1" t="s">
        <v>11</v>
      </c>
    </row>
    <row r="2" spans="1:7" x14ac:dyDescent="0.25">
      <c r="A2" s="5" t="s">
        <v>0</v>
      </c>
      <c r="B2" s="6">
        <v>3</v>
      </c>
      <c r="C2" s="6"/>
      <c r="D2" s="6"/>
      <c r="E2" s="7"/>
      <c r="G2" s="1" t="s">
        <v>9</v>
      </c>
    </row>
    <row r="3" spans="1:7" x14ac:dyDescent="0.25">
      <c r="A3" s="5" t="s">
        <v>6</v>
      </c>
      <c r="B3" s="6">
        <v>-2</v>
      </c>
      <c r="C3" s="6"/>
      <c r="D3" s="6"/>
      <c r="E3" s="7"/>
    </row>
    <row r="4" spans="1:7" ht="14.25" thickBot="1" x14ac:dyDescent="0.3">
      <c r="A4" s="8" t="s">
        <v>7</v>
      </c>
      <c r="B4" s="9">
        <v>2</v>
      </c>
      <c r="C4" s="9"/>
      <c r="D4" s="9"/>
      <c r="E4" s="10"/>
    </row>
    <row r="5" spans="1:7" ht="14.25" thickBot="1" x14ac:dyDescent="0.3"/>
    <row r="6" spans="1:7" x14ac:dyDescent="0.25">
      <c r="A6" s="2" t="s">
        <v>1</v>
      </c>
      <c r="B6" s="3" t="s">
        <v>2</v>
      </c>
      <c r="C6" s="3" t="s">
        <v>3</v>
      </c>
      <c r="D6" s="3" t="s">
        <v>4</v>
      </c>
      <c r="E6" s="4" t="s">
        <v>5</v>
      </c>
    </row>
    <row r="7" spans="1:7" x14ac:dyDescent="0.25">
      <c r="A7" s="11">
        <v>-2.3806759329500542</v>
      </c>
      <c r="B7" s="12">
        <v>0.27690998230736241</v>
      </c>
      <c r="C7" s="12">
        <f>A7*$B$2+B7*$B$3+$B$4+$E$1</f>
        <v>-4.8631837929616619</v>
      </c>
      <c r="D7" s="13">
        <f>MMULT(A7:B7,$D$24:$D$25)+$H$24</f>
        <v>2.0783307217565994E-2</v>
      </c>
      <c r="E7" s="7"/>
    </row>
    <row r="8" spans="1:7" x14ac:dyDescent="0.25">
      <c r="A8" s="11">
        <v>1.5765191205640416</v>
      </c>
      <c r="B8" s="12">
        <v>-0.99277238896890996</v>
      </c>
      <c r="C8" s="12">
        <f t="shared" ref="C8:C16" si="0">A8*$B$2+B8*$B$3+$B$4+$E$1</f>
        <v>9.5477661101331694</v>
      </c>
      <c r="D8" s="13">
        <f t="shared" ref="D8:D16" si="1">MMULT(A8:B8,$D$24:$D$25)+$H$24</f>
        <v>0.36783348797368987</v>
      </c>
      <c r="E8" s="7"/>
    </row>
    <row r="9" spans="1:7" x14ac:dyDescent="0.25">
      <c r="A9" s="11">
        <v>-1.6428306060343272</v>
      </c>
      <c r="B9" s="12">
        <v>2.7547881199379578</v>
      </c>
      <c r="C9" s="12">
        <f t="shared" si="0"/>
        <v>-7.605404087475673</v>
      </c>
      <c r="D9" s="13">
        <f t="shared" si="1"/>
        <v>1.0356097207714199</v>
      </c>
      <c r="E9" s="7"/>
    </row>
    <row r="10" spans="1:7" x14ac:dyDescent="0.25">
      <c r="A10" s="11">
        <v>-2.213827469748332</v>
      </c>
      <c r="B10" s="12">
        <v>1.3789211544702518</v>
      </c>
      <c r="C10" s="12">
        <f t="shared" si="0"/>
        <v>-6.5666607476822758</v>
      </c>
      <c r="D10" s="13">
        <f t="shared" si="1"/>
        <v>0.43985691011492167</v>
      </c>
      <c r="E10" s="7"/>
    </row>
    <row r="11" spans="1:7" x14ac:dyDescent="0.25">
      <c r="A11" s="11">
        <v>1.6645252928841732</v>
      </c>
      <c r="B11" s="12">
        <v>1.7819432747961086</v>
      </c>
      <c r="C11" s="12">
        <f t="shared" si="0"/>
        <v>4.2623532995635269</v>
      </c>
      <c r="D11" s="13">
        <f t="shared" si="1"/>
        <v>1.3565852047554725</v>
      </c>
      <c r="E11" s="7"/>
    </row>
    <row r="12" spans="1:7" x14ac:dyDescent="0.25">
      <c r="A12" s="11">
        <v>1.0966689572529829</v>
      </c>
      <c r="B12" s="12">
        <v>0.98966456022318994</v>
      </c>
      <c r="C12" s="12">
        <f t="shared" si="0"/>
        <v>4.1433417218157942</v>
      </c>
      <c r="D12" s="13">
        <f t="shared" si="1"/>
        <v>0.96571638752871303</v>
      </c>
      <c r="E12" s="7"/>
    </row>
    <row r="13" spans="1:7" x14ac:dyDescent="0.25">
      <c r="A13" s="11">
        <v>-7.0891028818103941E-2</v>
      </c>
      <c r="B13" s="12">
        <v>1.5681932246583026</v>
      </c>
      <c r="C13" s="12">
        <f t="shared" si="0"/>
        <v>-0.51639556526769193</v>
      </c>
      <c r="D13" s="13">
        <f t="shared" si="1"/>
        <v>0.93468942286678502</v>
      </c>
      <c r="E13" s="7"/>
    </row>
    <row r="14" spans="1:7" x14ac:dyDescent="0.25">
      <c r="A14" s="11">
        <v>0.50091278885292878</v>
      </c>
      <c r="B14" s="12">
        <v>0.72964211955738012</v>
      </c>
      <c r="C14" s="12">
        <f t="shared" si="0"/>
        <v>2.8761180979472512</v>
      </c>
      <c r="D14" s="13">
        <f t="shared" si="1"/>
        <v>0.75555729961566875</v>
      </c>
      <c r="E14" s="7"/>
    </row>
    <row r="15" spans="1:7" x14ac:dyDescent="0.25">
      <c r="A15" s="11">
        <v>0.60302512725426149</v>
      </c>
      <c r="B15" s="12">
        <v>1.6192923749694961</v>
      </c>
      <c r="C15" s="12">
        <f t="shared" si="0"/>
        <v>1.4031546023270174</v>
      </c>
      <c r="D15" s="13">
        <f t="shared" si="1"/>
        <v>1.087357356690176</v>
      </c>
      <c r="E15" s="7"/>
    </row>
    <row r="16" spans="1:7" ht="14.25" thickBot="1" x14ac:dyDescent="0.3">
      <c r="A16" s="14">
        <v>-2.5635253272899332</v>
      </c>
      <c r="B16" s="15">
        <v>-3.0182087976590832E-2</v>
      </c>
      <c r="C16" s="15">
        <f t="shared" si="0"/>
        <v>-4.7975478354133934</v>
      </c>
      <c r="D16" s="16">
        <f t="shared" si="1"/>
        <v>-0.12326879624979348</v>
      </c>
      <c r="E16" s="10"/>
    </row>
    <row r="22" spans="1:14" ht="14.25" thickBot="1" x14ac:dyDescent="0.3"/>
    <row r="23" spans="1:14" x14ac:dyDescent="0.25">
      <c r="A23" s="2" t="s">
        <v>1</v>
      </c>
      <c r="B23" s="3"/>
      <c r="C23" s="3">
        <v>0.2</v>
      </c>
      <c r="D23" s="3" t="s">
        <v>12</v>
      </c>
      <c r="E23" s="3"/>
      <c r="F23" s="3" t="s">
        <v>13</v>
      </c>
      <c r="G23" s="3">
        <v>0.4</v>
      </c>
      <c r="H23" s="3" t="s">
        <v>14</v>
      </c>
      <c r="I23" s="3"/>
      <c r="J23" s="3" t="s">
        <v>15</v>
      </c>
      <c r="K23" s="3" t="s">
        <v>2</v>
      </c>
      <c r="L23" s="3" t="s">
        <v>16</v>
      </c>
      <c r="M23" s="3"/>
      <c r="N23" s="4" t="s">
        <v>20</v>
      </c>
    </row>
    <row r="24" spans="1:14" x14ac:dyDescent="0.25">
      <c r="A24" s="5">
        <v>-2.3806759329500542</v>
      </c>
      <c r="B24" s="6">
        <v>0.27690998230736241</v>
      </c>
      <c r="C24" s="6">
        <v>0.35</v>
      </c>
      <c r="D24" s="6">
        <v>0.2</v>
      </c>
      <c r="E24" s="6"/>
      <c r="F24" s="6">
        <f>MMULT(A24:B24,D24:D25)</f>
        <v>-0.37921669278243403</v>
      </c>
      <c r="G24" s="6"/>
      <c r="H24" s="6">
        <v>0.4</v>
      </c>
      <c r="I24" s="6"/>
      <c r="J24" s="6">
        <f>F24+H24</f>
        <v>2.0783307217565994E-2</v>
      </c>
      <c r="K24" s="6"/>
      <c r="L24" s="6">
        <v>-4.8631837929616619</v>
      </c>
      <c r="M24" s="6"/>
      <c r="N24" s="7">
        <f>(J24-L24)^2</f>
        <v>23.853134635633094</v>
      </c>
    </row>
    <row r="25" spans="1:14" x14ac:dyDescent="0.25">
      <c r="A25" s="5"/>
      <c r="B25" s="6"/>
      <c r="C25" s="6"/>
      <c r="D25" s="6">
        <v>0.35</v>
      </c>
      <c r="E25" s="6"/>
      <c r="F25" s="6"/>
      <c r="G25" s="6"/>
      <c r="H25" s="6"/>
      <c r="I25" s="6"/>
      <c r="J25" s="6"/>
      <c r="K25" s="6"/>
      <c r="L25" s="6"/>
      <c r="M25" s="6"/>
      <c r="N25" s="7"/>
    </row>
    <row r="26" spans="1:14" x14ac:dyDescent="0.25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7"/>
    </row>
    <row r="27" spans="1:14" x14ac:dyDescent="0.25">
      <c r="A27" s="5"/>
      <c r="B27" s="6"/>
      <c r="C27" s="6" t="s">
        <v>22</v>
      </c>
      <c r="D27" s="6" t="s">
        <v>18</v>
      </c>
      <c r="E27" s="6"/>
      <c r="F27" s="6"/>
      <c r="G27" s="6"/>
      <c r="H27" s="6" t="s">
        <v>21</v>
      </c>
      <c r="I27" s="6"/>
      <c r="J27" s="6"/>
      <c r="K27" s="6"/>
      <c r="L27" s="6"/>
      <c r="M27" s="6"/>
      <c r="N27" s="7"/>
    </row>
    <row r="28" spans="1:14" x14ac:dyDescent="0.25">
      <c r="A28" s="5"/>
      <c r="B28" s="6"/>
      <c r="C28" s="6"/>
      <c r="D28" s="6">
        <f t="array" ref="D28:D29">MMULT(TRANSPOSE(A24:B24),J24-L24)</f>
        <v>-11.627142932716554</v>
      </c>
      <c r="E28" s="6"/>
      <c r="F28" s="6"/>
      <c r="G28" s="6"/>
      <c r="H28" s="6">
        <f>J24-L24</f>
        <v>4.8839671001792277</v>
      </c>
      <c r="I28" s="6"/>
      <c r="J28" s="6"/>
      <c r="K28" s="6"/>
      <c r="L28" s="6"/>
      <c r="M28" s="6"/>
      <c r="N28" s="7"/>
    </row>
    <row r="29" spans="1:14" x14ac:dyDescent="0.25">
      <c r="A29" s="5"/>
      <c r="B29" s="6"/>
      <c r="C29" s="6"/>
      <c r="D29" s="6">
        <v>1.3524192433003701</v>
      </c>
      <c r="E29" s="6"/>
      <c r="F29" s="6"/>
      <c r="G29" s="6"/>
      <c r="H29" s="6"/>
      <c r="I29" s="6"/>
      <c r="J29" s="6"/>
      <c r="K29" s="6"/>
      <c r="L29" s="6"/>
      <c r="M29" s="6"/>
      <c r="N29" s="7"/>
    </row>
    <row r="30" spans="1:14" x14ac:dyDescent="0.25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7"/>
    </row>
    <row r="31" spans="1:14" x14ac:dyDescent="0.25">
      <c r="A31" s="5"/>
      <c r="B31" s="6"/>
      <c r="C31" s="6"/>
      <c r="D31" s="6" t="s">
        <v>19</v>
      </c>
      <c r="E31" s="6"/>
      <c r="F31" s="6"/>
      <c r="G31" s="6"/>
      <c r="H31" s="6" t="s">
        <v>17</v>
      </c>
      <c r="I31" s="6"/>
      <c r="J31" s="6"/>
      <c r="K31" s="6"/>
      <c r="L31" s="6"/>
      <c r="M31" s="6"/>
      <c r="N31" s="7"/>
    </row>
    <row r="32" spans="1:14" x14ac:dyDescent="0.25">
      <c r="A32" s="5"/>
      <c r="B32" s="6"/>
      <c r="C32" s="6"/>
      <c r="D32" s="6">
        <f>D24-$B$1*D28</f>
        <v>0.31627142932716557</v>
      </c>
      <c r="E32" s="6"/>
      <c r="F32" s="6"/>
      <c r="G32" s="6"/>
      <c r="H32" s="6">
        <f>H24-$B$1*H28</f>
        <v>0.35116032899820776</v>
      </c>
      <c r="I32" s="6"/>
      <c r="J32" s="6"/>
      <c r="K32" s="6"/>
      <c r="L32" s="6"/>
      <c r="M32" s="6"/>
      <c r="N32" s="7"/>
    </row>
    <row r="33" spans="1:14" ht="14.25" thickBot="1" x14ac:dyDescent="0.3">
      <c r="A33" s="8"/>
      <c r="B33" s="9"/>
      <c r="C33" s="9"/>
      <c r="D33" s="9">
        <f>D25-$B$1*D29</f>
        <v>0.3364758075669963</v>
      </c>
      <c r="E33" s="9"/>
      <c r="F33" s="9"/>
      <c r="G33" s="9"/>
      <c r="H33" s="9"/>
      <c r="I33" s="9"/>
      <c r="J33" s="9"/>
      <c r="K33" s="9"/>
      <c r="L33" s="9"/>
      <c r="M33" s="9"/>
      <c r="N33" s="10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">
                <anchor moveWithCells="1" sizeWithCells="1">
                  <from>
                    <xdr:col>7</xdr:col>
                    <xdr:colOff>180975</xdr:colOff>
                    <xdr:row>18</xdr:row>
                    <xdr:rowOff>28575</xdr:rowOff>
                  </from>
                  <to>
                    <xdr:col>8</xdr:col>
                    <xdr:colOff>495300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eset">
                <anchor moveWithCells="1" sizeWithCells="1">
                  <from>
                    <xdr:col>8</xdr:col>
                    <xdr:colOff>600075</xdr:colOff>
                    <xdr:row>18</xdr:row>
                    <xdr:rowOff>47625</xdr:rowOff>
                  </from>
                  <to>
                    <xdr:col>9</xdr:col>
                    <xdr:colOff>438150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행렬미분_구현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2026-10-06T11:22:11Z</dcterms:modified>
</cp:coreProperties>
</file>