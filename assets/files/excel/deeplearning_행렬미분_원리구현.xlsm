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현재_통합_문서" defaultThemeVersion="164011"/>
  <bookViews>
    <workbookView xWindow="0" yWindow="0" windowWidth="22260" windowHeight="12645"/>
  </bookViews>
  <sheets>
    <sheet name="행렬미분_구현" sheetId="1" r:id="rId1"/>
    <sheet name="수식_설명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1" l="1"/>
  <c r="D9" i="1"/>
  <c r="D10" i="1"/>
  <c r="D11" i="1"/>
  <c r="D12" i="1"/>
  <c r="D13" i="1"/>
  <c r="D14" i="1"/>
  <c r="D15" i="1"/>
  <c r="D16" i="1"/>
  <c r="D7" i="1"/>
  <c r="C15" i="1" l="1"/>
  <c r="C13" i="1"/>
  <c r="C12" i="1"/>
  <c r="C14" i="1"/>
  <c r="C16" i="1"/>
  <c r="C11" i="1"/>
  <c r="C7" i="1"/>
  <c r="C8" i="1"/>
  <c r="C9" i="1"/>
  <c r="C10" i="1"/>
  <c r="F24" i="1"/>
  <c r="J24" i="1" s="1"/>
  <c r="D28" i="1" l="1" a="1"/>
  <c r="N24" i="1"/>
  <c r="H28" i="1"/>
  <c r="H32" i="1" s="1"/>
  <c r="D29" i="1" l="1"/>
  <c r="D33" i="1" s="1"/>
  <c r="D28" i="1"/>
  <c r="D32" i="1" s="1"/>
</calcChain>
</file>

<file path=xl/comments1.xml><?xml version="1.0" encoding="utf-8"?>
<comments xmlns="http://schemas.openxmlformats.org/spreadsheetml/2006/main">
  <authors>
    <author>만든 이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 xml:space="preserve">=RAND()*2-1
랜덤한값
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>=RAND()*6-3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=RAND()*6-3</t>
        </r>
      </text>
    </comment>
    <comment ref="D6" authorId="0" shapeId="0">
      <text>
        <r>
          <rPr>
            <b/>
            <sz val="9"/>
            <color indexed="81"/>
            <rFont val="Tahoma"/>
            <family val="2"/>
          </rPr>
          <t>=MMULT(A7:B7,$D$24:$D$25)+$H$24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<sst xmlns="http://schemas.openxmlformats.org/spreadsheetml/2006/main" count="158" uniqueCount="154">
  <si>
    <t>w1</t>
  </si>
  <si>
    <t>x1</t>
  </si>
  <si>
    <t>x2</t>
  </si>
  <si>
    <t>Y</t>
  </si>
  <si>
    <t>Y_pred</t>
  </si>
  <si>
    <t>Loss</t>
  </si>
  <si>
    <t>w2</t>
  </si>
  <si>
    <t>bias</t>
  </si>
  <si>
    <t>랜덤값</t>
  </si>
  <si>
    <t>LOSS=(Y_P - Y_T)^2</t>
  </si>
  <si>
    <t>수식 설명</t>
  </si>
  <si>
    <t>모델:</t>
  </si>
  <si>
    <t>y = w₁·x₁ + w₂·x₂ + b</t>
  </si>
  <si>
    <t>손실 함수:</t>
  </si>
  <si>
    <t>그래디언트(기울기) 계산:</t>
  </si>
  <si>
    <t>작동 원리</t>
  </si>
  <si>
    <t>입력 특성 x₁, x₂에 가중치 w₁, w₂를 곱하고 편향 b를 더해 예측값 y를 계산</t>
  </si>
  <si>
    <t>각 파라미터에 대한 손실 함수의 편미분을 계산</t>
  </si>
  <si>
    <t>1. 그래디언트가 양수면 → 가중치를 감소시켜야 손실이 줄어듬</t>
  </si>
  <si>
    <t>∂L/∂w₁ = (y_예측 - y_true) · x₁</t>
  </si>
  <si>
    <t>∂L/∂w₂ = (y_예측 - y_true) · x₂</t>
  </si>
  <si>
    <t>∂L/∂b = (y_예측 - y_true)</t>
  </si>
  <si>
    <t>예측값(y_예측)과 실제값(y_true) 간의 차이를 제곱한 값 (평균제곱오차, MSE)</t>
  </si>
  <si>
    <t>L = (y_예측 - y_true)²</t>
  </si>
  <si>
    <t>learning rate</t>
  </si>
  <si>
    <t>Y=W1*X1 + W2*X2 + BIAS</t>
  </si>
  <si>
    <t>2. 그래디언트가 음수면 → 가중치를 증가시켜야 손실이 줄어듬</t>
  </si>
  <si>
    <t>3. 이 그래디언트에 학습률(learning rate)을 곱해서 파라미터를 조금씩 업데이트</t>
  </si>
  <si>
    <t>W</t>
  </si>
  <si>
    <t>XW</t>
  </si>
  <si>
    <t>b</t>
  </si>
  <si>
    <t>Y_P</t>
  </si>
  <si>
    <t>Y_T</t>
  </si>
  <si>
    <t>출력 = 입력 × 가중치 → 오차 계산 → 미분 → 가중치 업데이트</t>
  </si>
  <si>
    <t>1. 모델 정의</t>
  </si>
  <si>
    <t>2. 행렬을 쓰는 이유</t>
  </si>
  <si>
    <t>목적</t>
  </si>
  <si>
    <t>결론</t>
  </si>
  <si>
    <t>딥러닝은 입력에 가중치를 곱해 출력을 만들고, 오차를 미분해 가중치를 업데이트하는 과정</t>
  </si>
  <si>
    <t>딥러닝은 고차원 데이터를 GPU로 병렬 처리하기 때문에 행렬 연산 필수</t>
  </si>
  <si>
    <t>손실함수는 모델 예측과 실제값 사이의 오차를 수치화한 것</t>
  </si>
  <si>
    <t>딥러닝은 예측 → 오차 → 미분 → 업데이트를 반복하는 자동 최적화 시스템</t>
  </si>
  <si>
    <t>모든 딥러닝 모델은 내부적으로 행렬곱 + 미분 + 업데이트 구조를 공유</t>
  </si>
  <si>
    <t>딥러닝: 고차원 공간에서 Loss를 최소화하는 수학적 최적화 문제</t>
  </si>
  <si>
    <t>B_new</t>
  </si>
  <si>
    <t>dL_dW</t>
  </si>
  <si>
    <t>w_new</t>
  </si>
  <si>
    <t>미분 학습 노트</t>
  </si>
  <si>
    <t>loss</t>
  </si>
  <si>
    <t>dL_dbias</t>
  </si>
  <si>
    <t>행렬미분</t>
  </si>
  <si>
    <t>예측값=WX+b</t>
  </si>
  <si>
    <t>딥러닝 경사하강법 미분</t>
  </si>
  <si>
    <t>(WX + b − Y)² 을 왜 미분하는지</t>
  </si>
  <si>
    <t>정답과 예측의 차이를 줄이기 위해</t>
  </si>
  <si>
    <t>오차=(예측−정답)2</t>
  </si>
  <si>
    <t>-&gt; 최소로 만들기</t>
  </si>
  <si>
    <t>X : 입력 (예: 공부시간)</t>
  </si>
  <si>
    <t>W : 기울기 (공부시간이 늘면 점수가 얼마나 오르나)</t>
  </si>
  <si>
    <t>b : 절편 (아무것도 안 해도 기본 점수)</t>
  </si>
  <si>
    <t>단순 직선 공식</t>
  </si>
  <si>
    <t>1단계 이해. 예측식부터 이해</t>
  </si>
  <si>
    <t>L=(WX+b−Y)^2 -&gt; 이 값을 최소화하는 게 목표</t>
  </si>
  <si>
    <t>제곱 이유</t>
  </si>
  <si>
    <t>음수 제거</t>
  </si>
  <si>
    <t>차이가 클수록 더 크게 마이너스 보상</t>
  </si>
  <si>
    <t>어디로 얼마나 움직일지 알려주는 방향표</t>
  </si>
  <si>
    <t>2단계 이해. 손실함수</t>
  </si>
  <si>
    <t>3단계 이해. 미분</t>
  </si>
  <si>
    <t>이 값을 조금 바꾸면, 결과가 얼마나 변하는지 확인</t>
  </si>
  <si>
    <t>W를 조금 바꾸면 → 오차가 얼마나 변하는지</t>
  </si>
  <si>
    <t>b를 조금 바꾸면 → 오차가 얼마나 변하는지</t>
  </si>
  <si>
    <t>이걸 알아야 다음 단계인 어디로 움직일지 알 수 있음</t>
  </si>
  <si>
    <t>4단계 이해. 미분 기호 d/dz의 의미</t>
  </si>
  <si>
    <t>(d / zd​) * (z)^2</t>
  </si>
  <si>
    <t xml:space="preserve">z가 변할 때, z²는 얼마나 변하는지 </t>
  </si>
  <si>
    <t>변화율을 확인하는 단계</t>
  </si>
  <si>
    <t>5단계 이해. 왜 z²를 미분하면 2z인지</t>
  </si>
  <si>
    <t>z → z + 조금</t>
  </si>
  <si>
    <t>z² → 얼마나 커질지</t>
  </si>
  <si>
    <t>d/zd​(z^2)=2z</t>
  </si>
  <si>
    <t>값이 클수록 → 변화도 더 큼</t>
  </si>
  <si>
    <t>6단계. 치환</t>
  </si>
  <si>
    <t>(WX+b−Y)2</t>
  </si>
  <si>
    <t xml:space="preserve">-&gt; </t>
  </si>
  <si>
    <t>z=WX+b−Y</t>
  </si>
  <si>
    <t>단순화</t>
  </si>
  <si>
    <t>L = z^2</t>
  </si>
  <si>
    <t>7단계. 1단계 미분</t>
  </si>
  <si>
    <t>dz / dL ​= 2z</t>
  </si>
  <si>
    <t>2(WX+b−Y)</t>
  </si>
  <si>
    <t>W, b</t>
  </si>
  <si>
    <t>b를 바꾸면 오차가 얼마나 변하는지</t>
  </si>
  <si>
    <t>W를 바꾸면 오차가 얼마나 변하는지</t>
  </si>
  <si>
    <t>8단계. 2단계 미분</t>
  </si>
  <si>
    <t>9단계. W에 대해 미분하면 왜 X가 붙는지</t>
  </si>
  <si>
    <t>WX + b − Y 를 W로 미분</t>
  </si>
  <si>
    <t>WX → X (W가 1 늘면 WX는 X만큼 늘어남)</t>
  </si>
  <si>
    <t>b → 상수 → 0</t>
  </si>
  <si>
    <t>Y → 상수 → 0</t>
  </si>
  <si>
    <t>d/Wd * ​(WX+b−Y) = X</t>
  </si>
  <si>
    <t>10단계. b에 대해 미분하면 왜 X가 없는지</t>
  </si>
  <si>
    <t>“WX + b − Y 를 b로 미분 결과</t>
  </si>
  <si>
    <t>WX → b랑 무관 → 0</t>
  </si>
  <si>
    <t>b → 1</t>
  </si>
  <si>
    <t>따라서</t>
  </si>
  <si>
    <t>d/db * ​(WX+b−Y)=1</t>
  </si>
  <si>
    <t>입력 X가 클수록 가중치 변화도 큼</t>
  </si>
  <si>
    <t>w 결과값</t>
  </si>
  <si>
    <t>dL/Dw = 2(WX + b - Y ) *X</t>
  </si>
  <si>
    <t>b의 결과값</t>
  </si>
  <si>
    <t>dL/db = 2(WX + b - Y )</t>
  </si>
  <si>
    <t>b는 전체를 위아래로 이동시키는 역할</t>
  </si>
  <si>
    <t>11단계. 경사하강법 업데이트 (실전</t>
  </si>
  <si>
    <t>W←W−η⋅2(WX+b−Y)X</t>
  </si>
  <si>
    <t>b←b−η⋅2(WX+b−Y)</t>
  </si>
  <si>
    <t>η (에타) = 학습률 = 얼마나 한 번에 움직일지</t>
  </si>
  <si>
    <t>정리</t>
  </si>
  <si>
    <t>제곱 → 2가 나옴</t>
  </si>
  <si>
    <t>1단계 미분 → 오차 크기</t>
  </si>
  <si>
    <t>2 단계 미분</t>
  </si>
  <si>
    <t>W → X가 붙음</t>
  </si>
  <si>
    <t>b → 1만 남음</t>
  </si>
  <si>
    <t>W는 입력에 영향, b는 전체를 이동</t>
  </si>
  <si>
    <t>AI는 Loss landscape 위에서 W를 조금식 이동시키는(gradient descent로 최적점을 찾는) 알고리즘</t>
  </si>
  <si>
    <t>신경망은  y = XW + b 형태의 선형모델을 여러 레이어로 쌓은 구조</t>
  </si>
  <si>
    <t>X → Layer 1 → Layer 2 → ... → 예측값 ŷ</t>
  </si>
  <si>
    <t>3. 순전파 (Forward Pass)</t>
  </si>
  <si>
    <t>입력 데이터가 층층이 통과하며 예측값을 만드는 과정</t>
  </si>
  <si>
    <t>4. 손실함수</t>
  </si>
  <si>
    <t>예: MSE, Cross-Entropy</t>
  </si>
  <si>
    <t>손실을 줄이기 위해 가중치를 어느 방향으로, 얼마나 바꿔야 하는지</t>
  </si>
  <si>
    <t>5. 학습의 핵심</t>
  </si>
  <si>
    <t>6. 역전파 (Backpropagation)</t>
  </si>
  <si>
    <t>연쇄법칙을 역방향으로 적용해 손실을 각 가중치로 미분하여 gradient를 구하는 과정</t>
  </si>
  <si>
    <t>출력층 → 은닉층 → 입력층 방향으로 gradient 전달</t>
  </si>
  <si>
    <t>∂L/∂W를 계산 (손실이 가중치에 대해 얼마나 민감한가)</t>
  </si>
  <si>
    <t>7. Gradient의 정체</t>
  </si>
  <si>
    <t>각 가중치가 손실에 미치는 영향의 방향과 크기</t>
  </si>
  <si>
    <t>8. 경사하강법 (Gradient Descent)</t>
  </si>
  <si>
    <t>Gradient 반대 방향으로 가중치를 조금씩 이동시키는 최적화 알고리즘</t>
  </si>
  <si>
    <t>W_new = W_old - η × ∂L/∂W</t>
  </si>
  <si>
    <t>η (학습률): "조금씩"의 크기를 결정하는 hyperparameter</t>
  </si>
  <si>
    <t>9. 전체 학습 루프</t>
  </si>
  <si>
    <t>반복:</t>
  </si>
  <si>
    <t>3. 역전파: gradient 계산</t>
  </si>
  <si>
    <t>4. 가중치 업데이트: W -= η × gradient</t>
  </si>
  <si>
    <t>10. Backprop의 핵심</t>
  </si>
  <si>
    <t>Backprop = 연쇄법칙(Chain Rule)을 역방향으로 행렬 형태로 구현한 것</t>
  </si>
  <si>
    <t>11. 모든 모델의 공통 구조</t>
  </si>
  <si>
    <t>행렬곱 + 활성화함수 + 미분 + 업데이트 구조를 공유</t>
  </si>
  <si>
    <t>차이는 층의 연결 방식과 연산 종류뿐</t>
  </si>
  <si>
    <t>1. 순전파: 예측값 계산</t>
  </si>
  <si>
    <t>2. 손실 계산: 오차 측정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</si>
</sst>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43" formatCode="_-* #,##0.00_-;\-* #,##0.00_-;_-* &quot;-&quot;??_-;_-@_-"/>
    <numFmt numFmtId="164" formatCode="_-* #,##0.00_-;\-* #,##0.00_-;_-* &quot;-&quot;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맑은 고딕"/>
      <family val="3"/>
      <charset val="129"/>
    </font>
    <font>
      <b/>
      <sz val="9"/>
      <color indexed="81"/>
      <name val="Tahoma"/>
      <family val="2"/>
    </font>
    <font>
      <b/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1" fontId="1" fillId="0" borderId="0" applyFont="0" applyFill="0" applyBorder="0" applyAlignment="0" applyProtection="0"/>
  </cellStyleXfs>
  <cellXfs count="42">
    <xf numFmtId="0" fontId="0" fillId="0" borderId="0" xfId="0"/>
    <xf numFmtId="0" fontId="2" fillId="0" borderId="0" xfId="0" applyFont="1"/>
    <xf numFmtId="0" fontId="3" fillId="0" borderId="0" xfId="0" applyFont="1"/>
    <xf numFmtId="0" fontId="5" fillId="0" borderId="0" xfId="0" applyFont="1" applyAlignment="1">
      <alignment vertical="center"/>
    </xf>
    <xf numFmtId="0" fontId="5" fillId="0" borderId="0" xfId="0" applyFont="1"/>
    <xf numFmtId="0" fontId="2" fillId="0" borderId="0" xfId="0" applyFont="1" applyAlignment="1">
      <alignment horizontal="left" vertical="center" indent="1"/>
    </xf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0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0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0" xfId="0" applyFont="1" applyBorder="1" applyAlignment="1">
      <alignment horizontal="left" vertical="center" indent="1"/>
    </xf>
    <xf numFmtId="164" fontId="3" fillId="0" borderId="4" xfId="1" applyNumberFormat="1" applyFont="1" applyBorder="1"/>
    <xf numFmtId="164" fontId="3" fillId="0" borderId="0" xfId="1" applyNumberFormat="1" applyFont="1" applyBorder="1"/>
    <xf numFmtId="43" fontId="3" fillId="0" borderId="0" xfId="0" applyNumberFormat="1" applyFont="1" applyBorder="1"/>
    <xf numFmtId="164" fontId="3" fillId="0" borderId="6" xfId="1" applyNumberFormat="1" applyFont="1" applyBorder="1"/>
    <xf numFmtId="164" fontId="3" fillId="0" borderId="7" xfId="1" applyNumberFormat="1" applyFont="1" applyBorder="1"/>
    <xf numFmtId="43" fontId="3" fillId="0" borderId="7" xfId="0" applyNumberFormat="1" applyFont="1" applyBorder="1"/>
    <xf numFmtId="0" fontId="2" fillId="0" borderId="0" xfId="0" quotePrefix="1" applyFont="1"/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Border="1"/>
    <xf numFmtId="0" fontId="2" fillId="0" borderId="13" xfId="0" applyFont="1" applyBorder="1"/>
    <xf numFmtId="0" fontId="2" fillId="0" borderId="14" xfId="0" applyFont="1" applyBorder="1"/>
    <xf numFmtId="0" fontId="2" fillId="0" borderId="15" xfId="0" applyFont="1" applyBorder="1"/>
    <xf numFmtId="0" fontId="2" fillId="0" borderId="16" xfId="0" applyFont="1" applyBorder="1"/>
    <xf numFmtId="0" fontId="2" fillId="0" borderId="17" xfId="0" applyFont="1" applyBorder="1"/>
    <xf numFmtId="0" fontId="2" fillId="0" borderId="0" xfId="0" quotePrefix="1" applyFont="1" applyBorder="1"/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실제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행렬미분_구현!$C$7:$C$16</c:f>
              <c:numCache>
                <c:formatCode>_-* #,##0.00_-;\-* #,##0.00_-;_-* "-"_-;_-@_-</c:formatCode>
                <c:ptCount val="10"/>
                <c:pt idx="0">
                  <c:v>-4.8631837929616619</c:v>
                </c:pt>
                <c:pt idx="1">
                  <c:v>9.5477661101331694</c:v>
                </c:pt>
                <c:pt idx="2">
                  <c:v>-7.605404087475673</c:v>
                </c:pt>
                <c:pt idx="3">
                  <c:v>-6.5666607476822758</c:v>
                </c:pt>
                <c:pt idx="4">
                  <c:v>4.2623532995635269</c:v>
                </c:pt>
                <c:pt idx="5">
                  <c:v>4.1433417218157942</c:v>
                </c:pt>
                <c:pt idx="6">
                  <c:v>-0.51639556526769193</c:v>
                </c:pt>
                <c:pt idx="7">
                  <c:v>2.8761180979472512</c:v>
                </c:pt>
                <c:pt idx="8">
                  <c:v>1.4031546023270174</c:v>
                </c:pt>
                <c:pt idx="9">
                  <c:v>-4.7975478354133934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08-4A03-9712-FEC870B6D5AB}"/>
            </c:ext>
          </c:extLst>
        </c:ser>
        <c:ser>
          <c:idx val="1"/>
          <c:order val="1"/>
          <c:tx>
            <c:v>예측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행렬미분_구현!$D$7:$D$16</c:f>
              <c:numCache>
                <c:formatCode>_(* #,##0.00_);_(* \(#,##0.00\);_(* "-"??_);_(@_)</c:formatCode>
                <c:ptCount val="10"/>
                <c:pt idx="0">
                  <c:v>2.0783307217565994E-2</c:v>
                </c:pt>
                <c:pt idx="1">
                  <c:v>0.36783348797368987</c:v>
                </c:pt>
                <c:pt idx="2">
                  <c:v>1.0356097207714199</c:v>
                </c:pt>
                <c:pt idx="3">
                  <c:v>0.43985691011492167</c:v>
                </c:pt>
                <c:pt idx="4">
                  <c:v>1.3565852047554725</c:v>
                </c:pt>
                <c:pt idx="5">
                  <c:v>0.96571638752871303</c:v>
                </c:pt>
                <c:pt idx="6">
                  <c:v>0.93468942286678502</c:v>
                </c:pt>
                <c:pt idx="7">
                  <c:v>0.75555729961566875</c:v>
                </c:pt>
                <c:pt idx="8">
                  <c:v>1.087357356690176</c:v>
                </c:pt>
                <c:pt idx="9">
                  <c:v>-0.12326879624979348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08-4A03-9712-FEC870B6D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2187120"/>
        <c:axId val="1972193776"/>
      </c:scatterChart>
      <c:valAx>
        <c:axId val="197218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2193776"/>
        <c:crosses val="autoZero"/>
        <c:crossBetween val="midCat"/>
      </c:valAx>
      <c:valAx>
        <c:axId val="197219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-&quot;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2187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2</xdr:row>
      <xdr:rowOff>61910</xdr:rowOff>
    </xdr:from>
    <xdr:to>
      <xdr:col>13</xdr:col>
      <xdr:colOff>438151</xdr:colOff>
      <xdr:row>17</xdr:row>
      <xdr:rowOff>85724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180975</xdr:colOff>
          <xdr:row>18</xdr:row>
          <xdr:rowOff>28575</xdr:rowOff>
        </xdr:from>
        <xdr:to>
          <xdr:col>8</xdr:col>
          <xdr:colOff>495300</xdr:colOff>
          <xdr:row>19</xdr:row>
          <xdr:rowOff>95250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최적화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18</xdr:row>
          <xdr:rowOff>47625</xdr:rowOff>
        </xdr:from>
        <xdr:to>
          <xdr:col>9</xdr:col>
          <xdr:colOff>438150</xdr:colOff>
          <xdr:row>19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295275</xdr:colOff>
      <xdr:row>45</xdr:row>
      <xdr:rowOff>47625</xdr:rowOff>
    </xdr:from>
    <xdr:to>
      <xdr:col>12</xdr:col>
      <xdr:colOff>295275</xdr:colOff>
      <xdr:row>45</xdr:row>
      <xdr:rowOff>152400</xdr:rowOff>
    </xdr:to>
    <xdr:cxnSp macro="">
      <xdr:nvCxnSpPr>
        <xdr:cNvPr id="3" name="직선 화살표 연결선 2"/>
        <xdr:cNvCxnSpPr/>
      </xdr:nvCxnSpPr>
      <xdr:spPr>
        <a:xfrm>
          <a:off x="7229475" y="6724650"/>
          <a:ext cx="0" cy="1047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showGridLines="0" tabSelected="1" workbookViewId="0">
      <selection activeCell="H25" sqref="H25"/>
    </sheetView>
  </sheetViews>
  <sheetFormatPr defaultRowHeight="13.5" x14ac:dyDescent="0.25"/>
  <cols>
    <col min="1" max="1" width="13.85546875" style="2" customWidth="1"/>
    <col min="2" max="2" width="9.140625" style="2" customWidth="1"/>
    <col min="3" max="16384" width="9.140625" style="2"/>
  </cols>
  <sheetData>
    <row r="1" spans="1:7" x14ac:dyDescent="0.25">
      <c r="A1" s="6" t="s">
        <v>24</v>
      </c>
      <c r="B1" s="7">
        <v>0.01</v>
      </c>
      <c r="C1" s="7"/>
      <c r="D1" s="7" t="s">
        <v>8</v>
      </c>
      <c r="E1" s="8">
        <v>0.83266397050322505</v>
      </c>
      <c r="G1" s="2" t="s">
        <v>25</v>
      </c>
    </row>
    <row r="2" spans="1:7" x14ac:dyDescent="0.25">
      <c r="A2" s="9" t="s">
        <v>0</v>
      </c>
      <c r="B2" s="10">
        <v>3</v>
      </c>
      <c r="C2" s="10"/>
      <c r="D2" s="10"/>
      <c r="E2" s="11"/>
      <c r="G2" s="2" t="s">
        <v>9</v>
      </c>
    </row>
    <row r="3" spans="1:7" x14ac:dyDescent="0.25">
      <c r="A3" s="9" t="s">
        <v>6</v>
      </c>
      <c r="B3" s="10">
        <v>-2</v>
      </c>
      <c r="C3" s="10"/>
      <c r="D3" s="10"/>
      <c r="E3" s="11"/>
    </row>
    <row r="4" spans="1:7" ht="14.25" thickBot="1" x14ac:dyDescent="0.3">
      <c r="A4" s="12" t="s">
        <v>7</v>
      </c>
      <c r="B4" s="13">
        <v>2</v>
      </c>
      <c r="C4" s="13"/>
      <c r="D4" s="13"/>
      <c r="E4" s="14"/>
    </row>
    <row r="5" spans="1:7" ht="14.25" thickBot="1" x14ac:dyDescent="0.3"/>
    <row r="6" spans="1:7" x14ac:dyDescent="0.25">
      <c r="A6" s="6" t="s">
        <v>1</v>
      </c>
      <c r="B6" s="7" t="s">
        <v>2</v>
      </c>
      <c r="C6" s="7" t="s">
        <v>3</v>
      </c>
      <c r="D6" s="7" t="s">
        <v>4</v>
      </c>
      <c r="E6" s="8" t="s">
        <v>5</v>
      </c>
    </row>
    <row r="7" spans="1:7" x14ac:dyDescent="0.25">
      <c r="A7" s="26">
        <v>-2.3806759329500542</v>
      </c>
      <c r="B7" s="27">
        <v>0.27690998230736241</v>
      </c>
      <c r="C7" s="27">
        <f>A7*$B$2+B7*$B$3+$B$4+$E$1</f>
        <v>-4.8631837929616619</v>
      </c>
      <c r="D7" s="28">
        <f>MMULT(A7:B7,$D$24:$D$25)+$H$24</f>
        <v>2.0783307217565994E-2</v>
      </c>
      <c r="E7" s="11"/>
    </row>
    <row r="8" spans="1:7" x14ac:dyDescent="0.25">
      <c r="A8" s="26">
        <v>1.5765191205640416</v>
      </c>
      <c r="B8" s="27">
        <v>-0.99277238896890996</v>
      </c>
      <c r="C8" s="27">
        <f t="shared" ref="C8:C16" si="0">A8*$B$2+B8*$B$3+$B$4+$E$1</f>
        <v>9.5477661101331694</v>
      </c>
      <c r="D8" s="28">
        <f t="shared" ref="D8:D16" si="1">MMULT(A8:B8,$D$24:$D$25)+$H$24</f>
        <v>0.36783348797368987</v>
      </c>
      <c r="E8" s="11"/>
    </row>
    <row r="9" spans="1:7" x14ac:dyDescent="0.25">
      <c r="A9" s="26">
        <v>-1.6428306060343272</v>
      </c>
      <c r="B9" s="27">
        <v>2.7547881199379578</v>
      </c>
      <c r="C9" s="27">
        <f t="shared" si="0"/>
        <v>-7.605404087475673</v>
      </c>
      <c r="D9" s="28">
        <f t="shared" si="1"/>
        <v>1.0356097207714199</v>
      </c>
      <c r="E9" s="11"/>
    </row>
    <row r="10" spans="1:7" x14ac:dyDescent="0.25">
      <c r="A10" s="26">
        <v>-2.213827469748332</v>
      </c>
      <c r="B10" s="27">
        <v>1.3789211544702518</v>
      </c>
      <c r="C10" s="27">
        <f t="shared" si="0"/>
        <v>-6.5666607476822758</v>
      </c>
      <c r="D10" s="28">
        <f t="shared" si="1"/>
        <v>0.43985691011492167</v>
      </c>
      <c r="E10" s="11"/>
    </row>
    <row r="11" spans="1:7" x14ac:dyDescent="0.25">
      <c r="A11" s="26">
        <v>1.6645252928841732</v>
      </c>
      <c r="B11" s="27">
        <v>1.7819432747961086</v>
      </c>
      <c r="C11" s="27">
        <f t="shared" si="0"/>
        <v>4.2623532995635269</v>
      </c>
      <c r="D11" s="28">
        <f t="shared" si="1"/>
        <v>1.3565852047554725</v>
      </c>
      <c r="E11" s="11"/>
    </row>
    <row r="12" spans="1:7" x14ac:dyDescent="0.25">
      <c r="A12" s="26">
        <v>1.0966689572529829</v>
      </c>
      <c r="B12" s="27">
        <v>0.98966456022318994</v>
      </c>
      <c r="C12" s="27">
        <f t="shared" si="0"/>
        <v>4.1433417218157942</v>
      </c>
      <c r="D12" s="28">
        <f t="shared" si="1"/>
        <v>0.96571638752871303</v>
      </c>
      <c r="E12" s="11"/>
    </row>
    <row r="13" spans="1:7" x14ac:dyDescent="0.25">
      <c r="A13" s="26">
        <v>-7.0891028818103941E-2</v>
      </c>
      <c r="B13" s="27">
        <v>1.5681932246583026</v>
      </c>
      <c r="C13" s="27">
        <f t="shared" si="0"/>
        <v>-0.51639556526769193</v>
      </c>
      <c r="D13" s="28">
        <f t="shared" si="1"/>
        <v>0.93468942286678502</v>
      </c>
      <c r="E13" s="11"/>
    </row>
    <row r="14" spans="1:7" x14ac:dyDescent="0.25">
      <c r="A14" s="26">
        <v>0.50091278885292878</v>
      </c>
      <c r="B14" s="27">
        <v>0.72964211955738012</v>
      </c>
      <c r="C14" s="27">
        <f t="shared" si="0"/>
        <v>2.8761180979472512</v>
      </c>
      <c r="D14" s="28">
        <f t="shared" si="1"/>
        <v>0.75555729961566875</v>
      </c>
      <c r="E14" s="11"/>
    </row>
    <row r="15" spans="1:7" x14ac:dyDescent="0.25">
      <c r="A15" s="26">
        <v>0.60302512725426149</v>
      </c>
      <c r="B15" s="27">
        <v>1.6192923749694961</v>
      </c>
      <c r="C15" s="27">
        <f t="shared" si="0"/>
        <v>1.4031546023270174</v>
      </c>
      <c r="D15" s="28">
        <f t="shared" si="1"/>
        <v>1.087357356690176</v>
      </c>
      <c r="E15" s="11"/>
    </row>
    <row r="16" spans="1:7" ht="14.25" thickBot="1" x14ac:dyDescent="0.3">
      <c r="A16" s="29">
        <v>-2.5635253272899332</v>
      </c>
      <c r="B16" s="30">
        <v>-3.0182087976590832E-2</v>
      </c>
      <c r="C16" s="30">
        <f t="shared" si="0"/>
        <v>-4.7975478354133934</v>
      </c>
      <c r="D16" s="31">
        <f t="shared" si="1"/>
        <v>-0.12326879624979348</v>
      </c>
      <c r="E16" s="14"/>
    </row>
    <row r="22" spans="1:14" ht="14.25" thickBot="1" x14ac:dyDescent="0.3"/>
    <row r="23" spans="1:14" x14ac:dyDescent="0.25">
      <c r="A23" s="6" t="s">
        <v>1</v>
      </c>
      <c r="B23" s="7"/>
      <c r="C23" s="7">
        <v>0.2</v>
      </c>
      <c r="D23" s="7" t="s">
        <v>28</v>
      </c>
      <c r="E23" s="7"/>
      <c r="F23" s="7" t="s">
        <v>29</v>
      </c>
      <c r="G23" s="7">
        <v>0.4</v>
      </c>
      <c r="H23" s="7" t="s">
        <v>30</v>
      </c>
      <c r="I23" s="7"/>
      <c r="J23" s="7" t="s">
        <v>31</v>
      </c>
      <c r="K23" s="7" t="s">
        <v>2</v>
      </c>
      <c r="L23" s="7" t="s">
        <v>32</v>
      </c>
      <c r="M23" s="7"/>
      <c r="N23" s="8" t="s">
        <v>48</v>
      </c>
    </row>
    <row r="24" spans="1:14" x14ac:dyDescent="0.25">
      <c r="A24" s="9">
        <v>-2.3806759329500542</v>
      </c>
      <c r="B24" s="10">
        <v>0.27690998230736241</v>
      </c>
      <c r="C24" s="10">
        <v>0.35</v>
      </c>
      <c r="D24" s="10">
        <v>0.2</v>
      </c>
      <c r="E24" s="10"/>
      <c r="F24" s="10">
        <f>MMULT(A24:B24,D24:D25)</f>
        <v>-0.37921669278243403</v>
      </c>
      <c r="G24" s="10"/>
      <c r="H24" s="10">
        <v>0.4</v>
      </c>
      <c r="I24" s="10"/>
      <c r="J24" s="10">
        <f>F24+H24</f>
        <v>2.0783307217565994E-2</v>
      </c>
      <c r="K24" s="10"/>
      <c r="L24" s="10">
        <v>-4.8631837929616619</v>
      </c>
      <c r="M24" s="10"/>
      <c r="N24" s="11">
        <f>(J24-L24)^2</f>
        <v>23.853134635633094</v>
      </c>
    </row>
    <row r="25" spans="1:14" x14ac:dyDescent="0.25">
      <c r="A25" s="9"/>
      <c r="B25" s="10"/>
      <c r="C25" s="10"/>
      <c r="D25" s="10">
        <v>0.35</v>
      </c>
      <c r="E25" s="10"/>
      <c r="F25" s="10"/>
      <c r="G25" s="10"/>
      <c r="H25" s="10"/>
      <c r="I25" s="10"/>
      <c r="J25" s="10"/>
      <c r="K25" s="10"/>
      <c r="L25" s="10"/>
      <c r="M25" s="10"/>
      <c r="N25" s="11"/>
    </row>
    <row r="26" spans="1:14" x14ac:dyDescent="0.25">
      <c r="A26" s="9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1"/>
    </row>
    <row r="27" spans="1:14" x14ac:dyDescent="0.25">
      <c r="A27" s="9"/>
      <c r="B27" s="10"/>
      <c r="C27" s="10" t="s">
        <v>50</v>
      </c>
      <c r="D27" s="10" t="s">
        <v>45</v>
      </c>
      <c r="E27" s="10"/>
      <c r="F27" s="10"/>
      <c r="G27" s="10"/>
      <c r="H27" s="10" t="s">
        <v>49</v>
      </c>
      <c r="I27" s="10"/>
      <c r="J27" s="10"/>
      <c r="K27" s="10"/>
      <c r="L27" s="10"/>
      <c r="M27" s="10"/>
      <c r="N27" s="11"/>
    </row>
    <row r="28" spans="1:14" x14ac:dyDescent="0.25">
      <c r="A28" s="9"/>
      <c r="B28" s="10"/>
      <c r="C28" s="10"/>
      <c r="D28" s="10">
        <f t="array" ref="D28:D29">MMULT(TRANSPOSE(A24:B24),J24-L24)</f>
        <v>-11.627142932716554</v>
      </c>
      <c r="E28" s="10"/>
      <c r="F28" s="10"/>
      <c r="G28" s="10"/>
      <c r="H28" s="10">
        <f>J24-L24</f>
        <v>4.8839671001792277</v>
      </c>
      <c r="I28" s="10"/>
      <c r="J28" s="10"/>
      <c r="K28" s="10"/>
      <c r="L28" s="10"/>
      <c r="M28" s="10"/>
      <c r="N28" s="11"/>
    </row>
    <row r="29" spans="1:14" x14ac:dyDescent="0.25">
      <c r="A29" s="9"/>
      <c r="B29" s="10"/>
      <c r="C29" s="10"/>
      <c r="D29" s="10">
        <v>1.3524192433003701</v>
      </c>
      <c r="E29" s="10"/>
      <c r="F29" s="10"/>
      <c r="G29" s="10"/>
      <c r="H29" s="10"/>
      <c r="I29" s="10"/>
      <c r="J29" s="10"/>
      <c r="K29" s="10"/>
      <c r="L29" s="10"/>
      <c r="M29" s="10"/>
      <c r="N29" s="11"/>
    </row>
    <row r="30" spans="1:14" x14ac:dyDescent="0.25">
      <c r="A30" s="9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1"/>
    </row>
    <row r="31" spans="1:14" x14ac:dyDescent="0.25">
      <c r="A31" s="9"/>
      <c r="B31" s="10"/>
      <c r="C31" s="10"/>
      <c r="D31" s="10" t="s">
        <v>46</v>
      </c>
      <c r="E31" s="10"/>
      <c r="F31" s="10"/>
      <c r="G31" s="10"/>
      <c r="H31" s="10" t="s">
        <v>44</v>
      </c>
      <c r="I31" s="10"/>
      <c r="J31" s="10"/>
      <c r="K31" s="10"/>
      <c r="L31" s="10"/>
      <c r="M31" s="10"/>
      <c r="N31" s="11"/>
    </row>
    <row r="32" spans="1:14" x14ac:dyDescent="0.25">
      <c r="A32" s="9"/>
      <c r="B32" s="10"/>
      <c r="C32" s="10"/>
      <c r="D32" s="10">
        <f>D24-$B$1*D28</f>
        <v>0.31627142932716557</v>
      </c>
      <c r="E32" s="10"/>
      <c r="F32" s="10"/>
      <c r="G32" s="10"/>
      <c r="H32" s="10">
        <f>H24-$B$1*H28</f>
        <v>0.35116032899820776</v>
      </c>
      <c r="I32" s="10"/>
      <c r="J32" s="10"/>
      <c r="K32" s="10"/>
      <c r="L32" s="10"/>
      <c r="M32" s="10"/>
      <c r="N32" s="11"/>
    </row>
    <row r="33" spans="1:14" ht="14.25" thickBot="1" x14ac:dyDescent="0.3">
      <c r="A33" s="12"/>
      <c r="B33" s="13"/>
      <c r="C33" s="13"/>
      <c r="D33" s="13">
        <f>D25-$B$1*D29</f>
        <v>0.3364758075669963</v>
      </c>
      <c r="E33" s="13"/>
      <c r="F33" s="13"/>
      <c r="G33" s="13"/>
      <c r="H33" s="13"/>
      <c r="I33" s="13"/>
      <c r="J33" s="13"/>
      <c r="K33" s="13"/>
      <c r="L33" s="13"/>
      <c r="M33" s="13"/>
      <c r="N33" s="14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">
                <anchor moveWithCells="1" sizeWithCells="1">
                  <from>
                    <xdr:col>7</xdr:col>
                    <xdr:colOff>180975</xdr:colOff>
                    <xdr:row>18</xdr:row>
                    <xdr:rowOff>28575</xdr:rowOff>
                  </from>
                  <to>
                    <xdr:col>8</xdr:col>
                    <xdr:colOff>495300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reset">
                <anchor moveWithCells="1" sizeWithCells="1">
                  <from>
                    <xdr:col>8</xdr:col>
                    <xdr:colOff>600075</xdr:colOff>
                    <xdr:row>18</xdr:row>
                    <xdr:rowOff>47625</xdr:rowOff>
                  </from>
                  <to>
                    <xdr:col>9</xdr:col>
                    <xdr:colOff>438150</xdr:colOff>
                    <xdr:row>19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C00000"/>
  </sheetPr>
  <dimension ref="A1:AD82"/>
  <sheetViews>
    <sheetView showGridLines="0" workbookViewId="0">
      <selection activeCell="Y20" sqref="Y20"/>
    </sheetView>
  </sheetViews>
  <sheetFormatPr defaultRowHeight="12.75" x14ac:dyDescent="0.2"/>
  <cols>
    <col min="1" max="1" width="3.42578125" style="1" customWidth="1"/>
    <col min="2" max="16384" width="9.140625" style="1"/>
  </cols>
  <sheetData>
    <row r="1" spans="1:30" ht="13.5" thickBot="1" x14ac:dyDescent="0.25"/>
    <row r="2" spans="1:30" x14ac:dyDescent="0.2">
      <c r="A2" s="3" t="s">
        <v>10</v>
      </c>
      <c r="K2" s="15" t="s">
        <v>36</v>
      </c>
      <c r="L2" s="16"/>
      <c r="M2" s="16"/>
      <c r="N2" s="16"/>
      <c r="O2" s="16"/>
      <c r="P2" s="16"/>
      <c r="Q2" s="16"/>
      <c r="R2" s="16"/>
      <c r="S2" s="16"/>
      <c r="T2" s="17"/>
      <c r="U2" s="18" t="s">
        <v>137</v>
      </c>
      <c r="V2" s="19"/>
      <c r="W2" s="19"/>
      <c r="X2" s="19"/>
      <c r="Y2" s="19"/>
      <c r="Z2" s="19"/>
      <c r="AA2" s="19"/>
      <c r="AB2" s="19"/>
      <c r="AC2" s="19"/>
      <c r="AD2" s="20"/>
    </row>
    <row r="3" spans="1:30" x14ac:dyDescent="0.2">
      <c r="C3" s="1" t="s">
        <v>33</v>
      </c>
      <c r="K3" s="18"/>
      <c r="L3" s="19" t="s">
        <v>38</v>
      </c>
      <c r="M3" s="19"/>
      <c r="N3" s="19"/>
      <c r="O3" s="19"/>
      <c r="P3" s="19"/>
      <c r="Q3" s="19"/>
      <c r="R3" s="19"/>
      <c r="S3" s="19"/>
      <c r="T3" s="20"/>
      <c r="U3" s="18"/>
      <c r="V3" s="19" t="s">
        <v>138</v>
      </c>
      <c r="W3" s="19"/>
      <c r="X3" s="19"/>
      <c r="Y3" s="19"/>
      <c r="Z3" s="19"/>
      <c r="AA3" s="19"/>
      <c r="AB3" s="19"/>
      <c r="AC3" s="19"/>
      <c r="AD3" s="20"/>
    </row>
    <row r="4" spans="1:30" x14ac:dyDescent="0.2">
      <c r="K4" s="18"/>
      <c r="T4" s="20"/>
      <c r="U4" s="18"/>
      <c r="V4" s="19"/>
      <c r="W4" s="19"/>
      <c r="X4" s="19"/>
      <c r="Y4" s="19"/>
      <c r="Z4" s="19"/>
      <c r="AA4" s="19"/>
      <c r="AB4" s="19"/>
      <c r="AC4" s="19"/>
      <c r="AD4" s="20"/>
    </row>
    <row r="5" spans="1:30" x14ac:dyDescent="0.2">
      <c r="B5" s="4" t="s">
        <v>11</v>
      </c>
      <c r="K5" s="18" t="s">
        <v>34</v>
      </c>
      <c r="L5" s="19"/>
      <c r="M5" s="19"/>
      <c r="N5" s="19"/>
      <c r="O5" s="19"/>
      <c r="P5" s="19"/>
      <c r="Q5" s="19"/>
      <c r="R5" s="19"/>
      <c r="S5" s="19"/>
      <c r="T5" s="20"/>
      <c r="U5" s="18" t="s">
        <v>139</v>
      </c>
      <c r="V5" s="19"/>
      <c r="W5" s="19"/>
      <c r="X5" s="19"/>
      <c r="Y5" s="19"/>
      <c r="Z5" s="19"/>
      <c r="AA5" s="19"/>
      <c r="AB5" s="19"/>
      <c r="AC5" s="19"/>
      <c r="AD5" s="20"/>
    </row>
    <row r="6" spans="1:30" x14ac:dyDescent="0.2">
      <c r="B6" s="5"/>
      <c r="C6" s="5" t="s">
        <v>12</v>
      </c>
      <c r="K6" s="18"/>
      <c r="L6" s="19" t="s">
        <v>125</v>
      </c>
      <c r="M6" s="19"/>
      <c r="N6" s="19"/>
      <c r="O6" s="19"/>
      <c r="P6" s="19"/>
      <c r="Q6" s="19"/>
      <c r="R6" s="19"/>
      <c r="S6" s="19"/>
      <c r="T6" s="20"/>
      <c r="U6" s="18"/>
      <c r="V6" s="19" t="s">
        <v>140</v>
      </c>
      <c r="W6" s="19"/>
      <c r="X6" s="19"/>
      <c r="Y6" s="19"/>
      <c r="Z6" s="19"/>
      <c r="AA6" s="19"/>
      <c r="AB6" s="19"/>
      <c r="AC6" s="19"/>
      <c r="AD6" s="20"/>
    </row>
    <row r="7" spans="1:30" x14ac:dyDescent="0.2">
      <c r="C7" s="5" t="s">
        <v>16</v>
      </c>
      <c r="K7" s="18"/>
      <c r="L7" s="19"/>
      <c r="M7" s="19"/>
      <c r="N7" s="19"/>
      <c r="O7" s="19"/>
      <c r="P7" s="19"/>
      <c r="Q7" s="19"/>
      <c r="R7" s="19"/>
      <c r="S7" s="19"/>
      <c r="T7" s="20"/>
      <c r="U7" s="18"/>
      <c r="V7" s="19" t="s">
        <v>141</v>
      </c>
      <c r="W7" s="19"/>
      <c r="X7" s="19"/>
      <c r="Y7" s="19"/>
      <c r="Z7" s="19"/>
      <c r="AA7" s="19"/>
      <c r="AB7" s="19"/>
      <c r="AC7" s="19"/>
      <c r="AD7" s="20"/>
    </row>
    <row r="8" spans="1:30" x14ac:dyDescent="0.2">
      <c r="K8" s="18" t="s">
        <v>35</v>
      </c>
      <c r="L8" s="19"/>
      <c r="M8" s="19"/>
      <c r="N8" s="19"/>
      <c r="O8" s="19"/>
      <c r="P8" s="19"/>
      <c r="Q8" s="19"/>
      <c r="R8" s="19"/>
      <c r="S8" s="19"/>
      <c r="T8" s="20"/>
      <c r="V8" s="1" t="s">
        <v>142</v>
      </c>
    </row>
    <row r="9" spans="1:30" x14ac:dyDescent="0.2">
      <c r="B9" s="4" t="s">
        <v>13</v>
      </c>
      <c r="K9" s="18"/>
      <c r="L9" s="19" t="s">
        <v>39</v>
      </c>
      <c r="M9" s="19"/>
      <c r="N9" s="19"/>
      <c r="O9" s="19"/>
      <c r="P9" s="19"/>
      <c r="Q9" s="19"/>
      <c r="R9" s="19"/>
      <c r="S9" s="19"/>
      <c r="T9" s="20"/>
    </row>
    <row r="10" spans="1:30" x14ac:dyDescent="0.2">
      <c r="B10" s="5"/>
      <c r="C10" s="5" t="s">
        <v>23</v>
      </c>
      <c r="K10" s="18"/>
      <c r="L10" s="19"/>
      <c r="M10" s="19"/>
      <c r="N10" s="19"/>
      <c r="O10" s="19"/>
      <c r="P10" s="19"/>
      <c r="Q10" s="19"/>
      <c r="R10" s="19"/>
      <c r="S10" s="19"/>
      <c r="T10" s="20"/>
      <c r="U10" s="1" t="s">
        <v>143</v>
      </c>
    </row>
    <row r="11" spans="1:30" x14ac:dyDescent="0.2">
      <c r="C11" s="5" t="s">
        <v>22</v>
      </c>
      <c r="K11" s="18" t="s">
        <v>127</v>
      </c>
      <c r="S11" s="19"/>
      <c r="T11" s="20"/>
      <c r="U11" s="18"/>
      <c r="V11" s="19" t="s">
        <v>41</v>
      </c>
      <c r="W11" s="19"/>
      <c r="X11" s="19"/>
      <c r="Y11" s="19"/>
      <c r="Z11" s="19"/>
      <c r="AA11" s="19"/>
      <c r="AB11" s="19"/>
      <c r="AC11" s="19"/>
      <c r="AD11" s="20"/>
    </row>
    <row r="12" spans="1:30" x14ac:dyDescent="0.2">
      <c r="K12" s="18"/>
      <c r="L12" s="1" t="s">
        <v>128</v>
      </c>
      <c r="S12" s="19"/>
      <c r="T12" s="20"/>
      <c r="U12" s="18"/>
      <c r="V12" s="1" t="s">
        <v>144</v>
      </c>
      <c r="W12" s="19"/>
      <c r="X12" s="19"/>
      <c r="Y12" s="19"/>
      <c r="Z12" s="19"/>
      <c r="AA12" s="19"/>
      <c r="AB12" s="19"/>
      <c r="AC12" s="19"/>
      <c r="AD12" s="20"/>
    </row>
    <row r="13" spans="1:30" x14ac:dyDescent="0.2">
      <c r="B13" s="4" t="s">
        <v>14</v>
      </c>
      <c r="K13" s="18"/>
      <c r="M13" s="1" t="s">
        <v>126</v>
      </c>
      <c r="S13" s="19"/>
      <c r="T13" s="20"/>
      <c r="U13" s="18"/>
      <c r="V13" s="19"/>
      <c r="W13" s="19" t="s">
        <v>152</v>
      </c>
      <c r="X13" s="19"/>
      <c r="Y13" s="19"/>
      <c r="Z13" s="19"/>
      <c r="AA13" s="19"/>
      <c r="AB13" s="19"/>
      <c r="AC13" s="19"/>
      <c r="AD13" s="20"/>
    </row>
    <row r="14" spans="1:30" x14ac:dyDescent="0.2">
      <c r="D14" s="1" t="s">
        <v>17</v>
      </c>
      <c r="K14" s="18"/>
      <c r="S14" s="19"/>
      <c r="T14" s="20"/>
      <c r="W14" s="1" t="s">
        <v>153</v>
      </c>
    </row>
    <row r="15" spans="1:30" x14ac:dyDescent="0.2">
      <c r="C15" s="5"/>
      <c r="D15" s="5" t="s">
        <v>19</v>
      </c>
      <c r="K15" s="18" t="s">
        <v>129</v>
      </c>
      <c r="L15" s="19"/>
      <c r="M15" s="19"/>
      <c r="N15" s="19"/>
      <c r="O15" s="19"/>
      <c r="P15" s="19"/>
      <c r="Q15" s="19"/>
      <c r="R15" s="19"/>
      <c r="S15" s="19"/>
      <c r="T15" s="20"/>
      <c r="W15" s="1" t="s">
        <v>145</v>
      </c>
    </row>
    <row r="16" spans="1:30" x14ac:dyDescent="0.2">
      <c r="D16" s="5" t="s">
        <v>20</v>
      </c>
      <c r="K16" s="18"/>
      <c r="L16" s="19" t="s">
        <v>40</v>
      </c>
      <c r="M16" s="19"/>
      <c r="N16" s="19"/>
      <c r="O16" s="19"/>
      <c r="P16" s="19"/>
      <c r="Q16" s="19"/>
      <c r="R16" s="19"/>
      <c r="S16" s="19"/>
      <c r="T16" s="20"/>
      <c r="W16" s="1" t="s">
        <v>146</v>
      </c>
    </row>
    <row r="17" spans="1:30" x14ac:dyDescent="0.2">
      <c r="D17" s="5" t="s">
        <v>21</v>
      </c>
      <c r="K17" s="18"/>
      <c r="L17" s="19"/>
      <c r="M17" s="19" t="s">
        <v>130</v>
      </c>
      <c r="N17" s="19"/>
      <c r="O17" s="19"/>
      <c r="P17" s="19"/>
      <c r="Q17" s="19"/>
      <c r="R17" s="19"/>
      <c r="S17" s="19"/>
      <c r="T17" s="20"/>
      <c r="U17" s="18" t="s">
        <v>147</v>
      </c>
      <c r="V17" s="19"/>
      <c r="W17" s="19"/>
      <c r="X17" s="19"/>
      <c r="Y17" s="19"/>
      <c r="Z17" s="19"/>
      <c r="AA17" s="19"/>
      <c r="AB17" s="19"/>
      <c r="AC17" s="19"/>
      <c r="AD17" s="20"/>
    </row>
    <row r="18" spans="1:30" x14ac:dyDescent="0.2">
      <c r="K18" s="18"/>
      <c r="S18" s="19"/>
      <c r="T18" s="20"/>
      <c r="U18" s="18"/>
      <c r="V18" s="19" t="s">
        <v>148</v>
      </c>
      <c r="W18" s="19"/>
      <c r="X18" s="19"/>
      <c r="Y18" s="19"/>
      <c r="Z18" s="19"/>
      <c r="AA18" s="19"/>
      <c r="AB18" s="19"/>
      <c r="AC18" s="19"/>
      <c r="AD18" s="20"/>
    </row>
    <row r="19" spans="1:30" x14ac:dyDescent="0.2">
      <c r="B19" s="3" t="s">
        <v>15</v>
      </c>
      <c r="K19" s="18" t="s">
        <v>132</v>
      </c>
      <c r="L19" s="19"/>
      <c r="M19" s="19"/>
      <c r="N19" s="19"/>
      <c r="O19" s="19"/>
      <c r="P19" s="19"/>
      <c r="Q19" s="19"/>
      <c r="R19" s="19"/>
      <c r="S19" s="19"/>
      <c r="U19" s="18"/>
      <c r="V19" s="19"/>
      <c r="W19" s="19"/>
      <c r="X19" s="19"/>
      <c r="Y19" s="19"/>
      <c r="Z19" s="19"/>
      <c r="AA19" s="19"/>
      <c r="AB19" s="19"/>
      <c r="AC19" s="19"/>
      <c r="AD19" s="20"/>
    </row>
    <row r="20" spans="1:30" x14ac:dyDescent="0.2">
      <c r="B20" s="5"/>
      <c r="C20" s="5" t="s">
        <v>18</v>
      </c>
      <c r="K20" s="18"/>
      <c r="L20" s="19" t="s">
        <v>131</v>
      </c>
      <c r="M20" s="19"/>
      <c r="N20" s="19"/>
      <c r="O20" s="19"/>
      <c r="P20" s="19"/>
      <c r="Q20" s="19"/>
      <c r="R20" s="19"/>
      <c r="U20" s="18" t="s">
        <v>149</v>
      </c>
      <c r="V20" s="19"/>
      <c r="W20" s="19"/>
      <c r="X20" s="19"/>
      <c r="Y20" s="19"/>
      <c r="Z20" s="19"/>
      <c r="AA20" s="19"/>
      <c r="AB20" s="19"/>
      <c r="AC20" s="19"/>
      <c r="AD20" s="20"/>
    </row>
    <row r="21" spans="1:30" x14ac:dyDescent="0.2">
      <c r="C21" s="5" t="s">
        <v>26</v>
      </c>
      <c r="K21" s="18"/>
      <c r="L21" s="19"/>
      <c r="M21" s="19"/>
      <c r="N21" s="19"/>
      <c r="O21" s="19"/>
      <c r="P21" s="19"/>
      <c r="Q21" s="19"/>
      <c r="R21" s="19"/>
      <c r="U21" s="18"/>
      <c r="V21" s="19" t="s">
        <v>42</v>
      </c>
      <c r="W21" s="19"/>
      <c r="X21" s="19"/>
      <c r="Y21" s="19"/>
      <c r="Z21" s="19"/>
      <c r="AA21" s="19"/>
      <c r="AB21" s="19"/>
      <c r="AC21" s="19"/>
      <c r="AD21" s="20"/>
    </row>
    <row r="22" spans="1:30" x14ac:dyDescent="0.2">
      <c r="A22" s="19"/>
      <c r="B22" s="19"/>
      <c r="C22" s="25" t="s">
        <v>27</v>
      </c>
      <c r="D22" s="19"/>
      <c r="E22" s="19"/>
      <c r="F22" s="19"/>
      <c r="G22" s="19"/>
      <c r="H22" s="19"/>
      <c r="I22" s="19"/>
      <c r="J22" s="19"/>
      <c r="K22" s="18" t="s">
        <v>133</v>
      </c>
      <c r="L22" s="19"/>
      <c r="M22" s="19"/>
      <c r="N22" s="19"/>
      <c r="O22" s="19"/>
      <c r="P22" s="19"/>
      <c r="Q22" s="19"/>
      <c r="R22" s="19"/>
      <c r="T22" s="19"/>
      <c r="U22" s="18"/>
      <c r="V22" s="19"/>
      <c r="W22" s="19" t="s">
        <v>150</v>
      </c>
      <c r="X22" s="19"/>
      <c r="Y22" s="19"/>
      <c r="Z22" s="19"/>
      <c r="AA22" s="19"/>
      <c r="AB22" s="19"/>
      <c r="AC22" s="19"/>
      <c r="AD22" s="20"/>
    </row>
    <row r="23" spans="1:30" x14ac:dyDescent="0.2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8"/>
      <c r="L23" s="19" t="s">
        <v>134</v>
      </c>
      <c r="M23" s="19"/>
      <c r="N23" s="19"/>
      <c r="O23" s="19"/>
      <c r="P23" s="19"/>
      <c r="Q23" s="19"/>
      <c r="R23" s="19"/>
      <c r="S23" s="19"/>
      <c r="T23" s="19"/>
      <c r="U23" s="18"/>
      <c r="W23" s="19" t="s">
        <v>151</v>
      </c>
    </row>
    <row r="24" spans="1:30" x14ac:dyDescent="0.2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8"/>
      <c r="L24" s="19"/>
      <c r="M24" s="19" t="s">
        <v>135</v>
      </c>
      <c r="N24" s="19"/>
      <c r="O24" s="19"/>
      <c r="P24" s="19"/>
      <c r="Q24" s="19"/>
      <c r="R24" s="19"/>
      <c r="S24" s="19"/>
      <c r="T24" s="19"/>
      <c r="U24" s="18" t="s">
        <v>37</v>
      </c>
      <c r="V24" s="19"/>
      <c r="X24" s="19"/>
      <c r="Y24" s="19"/>
      <c r="Z24" s="19"/>
      <c r="AA24" s="19"/>
      <c r="AB24" s="19"/>
      <c r="AC24" s="19"/>
      <c r="AD24" s="20"/>
    </row>
    <row r="25" spans="1:30" x14ac:dyDescent="0.2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8"/>
      <c r="L25" s="19"/>
      <c r="M25" s="19" t="s">
        <v>136</v>
      </c>
      <c r="N25" s="19"/>
      <c r="O25" s="19"/>
      <c r="P25" s="19"/>
      <c r="Q25" s="19"/>
      <c r="R25" s="19"/>
      <c r="S25" s="19"/>
      <c r="T25" s="19"/>
      <c r="U25" s="18"/>
      <c r="V25" s="19" t="s">
        <v>43</v>
      </c>
      <c r="W25" s="19"/>
      <c r="X25" s="19"/>
      <c r="Y25" s="19"/>
      <c r="Z25" s="19"/>
      <c r="AA25" s="19"/>
      <c r="AB25" s="19"/>
      <c r="AC25" s="19"/>
      <c r="AD25" s="20"/>
    </row>
    <row r="26" spans="1:30" x14ac:dyDescent="0.2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8"/>
      <c r="L26" s="19"/>
      <c r="M26" s="19"/>
      <c r="N26" s="19"/>
      <c r="O26" s="19"/>
      <c r="P26" s="19"/>
      <c r="Q26" s="19"/>
      <c r="R26" s="19"/>
      <c r="S26" s="19"/>
      <c r="T26" s="19"/>
      <c r="U26" s="18"/>
      <c r="V26" s="19" t="s">
        <v>124</v>
      </c>
      <c r="W26" s="19"/>
      <c r="X26" s="19"/>
      <c r="Y26" s="19"/>
      <c r="Z26" s="19"/>
      <c r="AA26" s="19"/>
      <c r="AB26" s="19"/>
      <c r="AC26" s="19"/>
      <c r="AD26" s="20"/>
    </row>
    <row r="27" spans="1:30" ht="13.5" thickBot="1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8"/>
      <c r="L27" s="19"/>
      <c r="M27" s="19"/>
      <c r="N27" s="19"/>
      <c r="O27" s="19"/>
      <c r="P27" s="19"/>
      <c r="Q27" s="19"/>
      <c r="R27" s="19"/>
      <c r="S27" s="19"/>
      <c r="T27" s="19"/>
      <c r="U27" s="21"/>
      <c r="V27" s="22"/>
      <c r="W27" s="22"/>
      <c r="X27" s="22"/>
      <c r="Y27" s="22"/>
      <c r="Z27" s="22"/>
      <c r="AA27" s="22"/>
      <c r="AB27" s="22"/>
      <c r="AC27" s="22"/>
      <c r="AD27" s="23"/>
    </row>
    <row r="28" spans="1:30" ht="13.5" thickBot="1" x14ac:dyDescent="0.25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</row>
    <row r="29" spans="1:30" ht="13.5" thickTop="1" x14ac:dyDescent="0.2">
      <c r="B29" s="1" t="s">
        <v>47</v>
      </c>
    </row>
    <row r="30" spans="1:30" x14ac:dyDescent="0.2">
      <c r="C30" s="1" t="s">
        <v>66</v>
      </c>
    </row>
    <row r="33" spans="3:22" x14ac:dyDescent="0.2">
      <c r="C33" s="1" t="s">
        <v>52</v>
      </c>
    </row>
    <row r="34" spans="3:22" x14ac:dyDescent="0.2">
      <c r="D34" s="1" t="s">
        <v>53</v>
      </c>
      <c r="G34" s="32" t="s">
        <v>56</v>
      </c>
    </row>
    <row r="35" spans="3:22" x14ac:dyDescent="0.2">
      <c r="D35" s="1" t="s">
        <v>54</v>
      </c>
    </row>
    <row r="36" spans="3:22" x14ac:dyDescent="0.2">
      <c r="E36" s="1" t="s">
        <v>55</v>
      </c>
      <c r="T36" s="1" t="s">
        <v>117</v>
      </c>
    </row>
    <row r="37" spans="3:22" x14ac:dyDescent="0.2">
      <c r="U37" s="1" t="s">
        <v>118</v>
      </c>
    </row>
    <row r="38" spans="3:22" x14ac:dyDescent="0.2">
      <c r="C38" s="33" t="s">
        <v>61</v>
      </c>
      <c r="D38" s="34"/>
      <c r="E38" s="34"/>
      <c r="F38" s="34"/>
      <c r="G38" s="34"/>
      <c r="H38" s="34"/>
      <c r="I38" s="35"/>
      <c r="L38" s="33" t="s">
        <v>82</v>
      </c>
      <c r="M38" s="34"/>
      <c r="N38" s="34"/>
      <c r="O38" s="34"/>
      <c r="P38" s="34"/>
      <c r="Q38" s="35"/>
      <c r="U38" s="1" t="s">
        <v>119</v>
      </c>
    </row>
    <row r="39" spans="3:22" x14ac:dyDescent="0.2">
      <c r="C39" s="36"/>
      <c r="D39" s="19" t="s">
        <v>51</v>
      </c>
      <c r="E39" s="19"/>
      <c r="F39" s="19"/>
      <c r="G39" s="19"/>
      <c r="H39" s="19"/>
      <c r="I39" s="37"/>
      <c r="L39" s="36" t="s">
        <v>83</v>
      </c>
      <c r="M39" s="41" t="s">
        <v>84</v>
      </c>
      <c r="N39" s="19" t="s">
        <v>85</v>
      </c>
      <c r="O39" s="19"/>
      <c r="P39" s="19"/>
      <c r="Q39" s="37"/>
      <c r="U39" s="1" t="s">
        <v>120</v>
      </c>
    </row>
    <row r="40" spans="3:22" x14ac:dyDescent="0.2">
      <c r="C40" s="36"/>
      <c r="D40" s="19"/>
      <c r="E40" s="19" t="s">
        <v>57</v>
      </c>
      <c r="F40" s="19"/>
      <c r="G40" s="19"/>
      <c r="H40" s="19"/>
      <c r="I40" s="37"/>
      <c r="L40" s="36" t="s">
        <v>86</v>
      </c>
      <c r="M40" s="19"/>
      <c r="N40" s="19"/>
      <c r="O40" s="19"/>
      <c r="P40" s="19"/>
      <c r="Q40" s="37"/>
      <c r="V40" s="1" t="s">
        <v>121</v>
      </c>
    </row>
    <row r="41" spans="3:22" x14ac:dyDescent="0.2">
      <c r="C41" s="36"/>
      <c r="D41" s="19"/>
      <c r="E41" s="19" t="s">
        <v>58</v>
      </c>
      <c r="F41" s="19"/>
      <c r="G41" s="19"/>
      <c r="H41" s="19"/>
      <c r="I41" s="37"/>
      <c r="L41" s="36"/>
      <c r="M41" s="19" t="s">
        <v>87</v>
      </c>
      <c r="N41" s="19"/>
      <c r="O41" s="19"/>
      <c r="P41" s="19"/>
      <c r="Q41" s="37"/>
      <c r="V41" s="1" t="s">
        <v>122</v>
      </c>
    </row>
    <row r="42" spans="3:22" x14ac:dyDescent="0.2">
      <c r="C42" s="36"/>
      <c r="D42" s="19"/>
      <c r="E42" s="19" t="s">
        <v>59</v>
      </c>
      <c r="F42" s="19"/>
      <c r="G42" s="19"/>
      <c r="H42" s="19"/>
      <c r="I42" s="37"/>
      <c r="L42" s="38"/>
      <c r="M42" s="39"/>
      <c r="N42" s="39"/>
      <c r="O42" s="39"/>
      <c r="P42" s="39"/>
      <c r="Q42" s="40"/>
      <c r="U42" s="1" t="s">
        <v>123</v>
      </c>
    </row>
    <row r="43" spans="3:22" x14ac:dyDescent="0.2">
      <c r="C43" s="38"/>
      <c r="D43" s="39" t="s">
        <v>60</v>
      </c>
      <c r="E43" s="39"/>
      <c r="F43" s="39"/>
      <c r="G43" s="39"/>
      <c r="H43" s="39"/>
      <c r="I43" s="40"/>
    </row>
    <row r="44" spans="3:22" x14ac:dyDescent="0.2">
      <c r="L44" s="33" t="s">
        <v>88</v>
      </c>
      <c r="M44" s="34"/>
      <c r="N44" s="34"/>
      <c r="O44" s="34"/>
      <c r="P44" s="34"/>
      <c r="Q44" s="35"/>
    </row>
    <row r="45" spans="3:22" x14ac:dyDescent="0.2">
      <c r="L45" s="36"/>
      <c r="M45" s="19" t="s">
        <v>89</v>
      </c>
      <c r="N45" s="19"/>
      <c r="O45" s="19"/>
      <c r="P45" s="19"/>
      <c r="Q45" s="37"/>
    </row>
    <row r="46" spans="3:22" x14ac:dyDescent="0.2">
      <c r="C46" s="33" t="s">
        <v>67</v>
      </c>
      <c r="D46" s="34"/>
      <c r="E46" s="34"/>
      <c r="F46" s="34"/>
      <c r="G46" s="34"/>
      <c r="H46" s="34"/>
      <c r="I46" s="35"/>
      <c r="L46" s="36"/>
      <c r="M46" s="19"/>
      <c r="N46" s="19"/>
      <c r="O46" s="19"/>
      <c r="P46" s="19"/>
      <c r="Q46" s="37"/>
    </row>
    <row r="47" spans="3:22" x14ac:dyDescent="0.2">
      <c r="C47" s="36"/>
      <c r="D47" s="19" t="s">
        <v>62</v>
      </c>
      <c r="E47" s="19"/>
      <c r="F47" s="19"/>
      <c r="G47" s="19"/>
      <c r="H47" s="19"/>
      <c r="I47" s="37"/>
      <c r="L47" s="38"/>
      <c r="M47" s="39" t="s">
        <v>90</v>
      </c>
      <c r="N47" s="39"/>
      <c r="O47" s="39"/>
      <c r="P47" s="39"/>
      <c r="Q47" s="40"/>
    </row>
    <row r="48" spans="3:22" x14ac:dyDescent="0.2">
      <c r="C48" s="36"/>
      <c r="D48" s="19"/>
      <c r="E48" s="19"/>
      <c r="F48" s="19"/>
      <c r="G48" s="19"/>
      <c r="H48" s="19"/>
      <c r="I48" s="37"/>
    </row>
    <row r="49" spans="3:17" x14ac:dyDescent="0.2">
      <c r="C49" s="36"/>
      <c r="D49" s="19" t="s">
        <v>63</v>
      </c>
      <c r="E49" s="19"/>
      <c r="F49" s="19"/>
      <c r="G49" s="19"/>
      <c r="H49" s="19"/>
      <c r="I49" s="37"/>
    </row>
    <row r="50" spans="3:17" x14ac:dyDescent="0.2">
      <c r="C50" s="36"/>
      <c r="D50" s="19"/>
      <c r="E50" s="19" t="s">
        <v>64</v>
      </c>
      <c r="F50" s="19"/>
      <c r="G50" s="19"/>
      <c r="H50" s="19"/>
      <c r="I50" s="37"/>
      <c r="L50" s="33" t="s">
        <v>94</v>
      </c>
      <c r="M50" s="34"/>
      <c r="N50" s="34"/>
      <c r="O50" s="34"/>
      <c r="P50" s="34"/>
      <c r="Q50" s="35"/>
    </row>
    <row r="51" spans="3:17" x14ac:dyDescent="0.2">
      <c r="C51" s="38"/>
      <c r="D51" s="39"/>
      <c r="E51" s="39" t="s">
        <v>65</v>
      </c>
      <c r="F51" s="39"/>
      <c r="G51" s="39"/>
      <c r="H51" s="39"/>
      <c r="I51" s="40"/>
      <c r="L51" s="36"/>
      <c r="M51" s="19" t="s">
        <v>91</v>
      </c>
      <c r="N51" s="19"/>
      <c r="O51" s="19"/>
      <c r="P51" s="19"/>
      <c r="Q51" s="37"/>
    </row>
    <row r="52" spans="3:17" x14ac:dyDescent="0.2">
      <c r="L52" s="36"/>
      <c r="M52" s="19"/>
      <c r="N52" s="19" t="s">
        <v>93</v>
      </c>
      <c r="O52" s="19"/>
      <c r="P52" s="19"/>
      <c r="Q52" s="37"/>
    </row>
    <row r="53" spans="3:17" x14ac:dyDescent="0.2">
      <c r="C53" s="33" t="s">
        <v>68</v>
      </c>
      <c r="D53" s="34"/>
      <c r="E53" s="34"/>
      <c r="F53" s="34"/>
      <c r="G53" s="34"/>
      <c r="H53" s="34"/>
      <c r="I53" s="35"/>
      <c r="L53" s="38"/>
      <c r="M53" s="39"/>
      <c r="N53" s="39" t="s">
        <v>92</v>
      </c>
      <c r="O53" s="39"/>
      <c r="P53" s="39"/>
      <c r="Q53" s="40"/>
    </row>
    <row r="54" spans="3:17" x14ac:dyDescent="0.2">
      <c r="C54" s="36"/>
      <c r="D54" s="19" t="s">
        <v>69</v>
      </c>
      <c r="E54" s="19"/>
      <c r="F54" s="19"/>
      <c r="G54" s="19"/>
      <c r="H54" s="19"/>
      <c r="I54" s="37"/>
    </row>
    <row r="55" spans="3:17" x14ac:dyDescent="0.2">
      <c r="C55" s="36"/>
      <c r="D55" s="19"/>
      <c r="E55" s="19" t="s">
        <v>70</v>
      </c>
      <c r="F55" s="19"/>
      <c r="G55" s="19"/>
      <c r="H55" s="19"/>
      <c r="I55" s="37"/>
      <c r="L55" s="33" t="s">
        <v>95</v>
      </c>
      <c r="M55" s="34"/>
      <c r="N55" s="34"/>
      <c r="O55" s="34"/>
      <c r="P55" s="34"/>
      <c r="Q55" s="35"/>
    </row>
    <row r="56" spans="3:17" x14ac:dyDescent="0.2">
      <c r="C56" s="36"/>
      <c r="D56" s="19"/>
      <c r="E56" s="19" t="s">
        <v>71</v>
      </c>
      <c r="F56" s="19"/>
      <c r="G56" s="19"/>
      <c r="H56" s="19"/>
      <c r="I56" s="37"/>
      <c r="L56" s="36"/>
      <c r="M56" s="19" t="s">
        <v>96</v>
      </c>
      <c r="N56" s="19"/>
      <c r="O56" s="19"/>
      <c r="P56" s="19"/>
      <c r="Q56" s="37"/>
    </row>
    <row r="57" spans="3:17" x14ac:dyDescent="0.2">
      <c r="C57" s="38"/>
      <c r="D57" s="39" t="s">
        <v>72</v>
      </c>
      <c r="E57" s="39"/>
      <c r="F57" s="39"/>
      <c r="G57" s="39"/>
      <c r="H57" s="39"/>
      <c r="I57" s="40"/>
      <c r="L57" s="36"/>
      <c r="M57" s="19"/>
      <c r="N57" s="19" t="s">
        <v>97</v>
      </c>
      <c r="O57" s="19"/>
      <c r="P57" s="19"/>
      <c r="Q57" s="37"/>
    </row>
    <row r="58" spans="3:17" x14ac:dyDescent="0.2">
      <c r="L58" s="36"/>
      <c r="M58" s="19"/>
      <c r="N58" s="19" t="s">
        <v>98</v>
      </c>
      <c r="O58" s="19"/>
      <c r="P58" s="19"/>
      <c r="Q58" s="37"/>
    </row>
    <row r="59" spans="3:17" x14ac:dyDescent="0.2">
      <c r="C59" s="33" t="s">
        <v>73</v>
      </c>
      <c r="D59" s="34"/>
      <c r="E59" s="34"/>
      <c r="F59" s="34"/>
      <c r="G59" s="34"/>
      <c r="H59" s="34"/>
      <c r="I59" s="35"/>
      <c r="L59" s="36"/>
      <c r="M59" s="19"/>
      <c r="N59" s="19" t="s">
        <v>99</v>
      </c>
      <c r="O59" s="19"/>
      <c r="P59" s="19"/>
      <c r="Q59" s="37"/>
    </row>
    <row r="60" spans="3:17" x14ac:dyDescent="0.2">
      <c r="C60" s="36"/>
      <c r="D60" s="19" t="s">
        <v>74</v>
      </c>
      <c r="E60" s="19"/>
      <c r="F60" s="19"/>
      <c r="G60" s="19"/>
      <c r="H60" s="19"/>
      <c r="I60" s="37"/>
      <c r="L60" s="36"/>
      <c r="M60" s="19" t="s">
        <v>100</v>
      </c>
      <c r="N60" s="19"/>
      <c r="O60" s="19"/>
      <c r="P60" s="19"/>
      <c r="Q60" s="37"/>
    </row>
    <row r="61" spans="3:17" x14ac:dyDescent="0.2">
      <c r="C61" s="36"/>
      <c r="D61" s="19"/>
      <c r="E61" s="19" t="s">
        <v>75</v>
      </c>
      <c r="F61" s="19"/>
      <c r="G61" s="19"/>
      <c r="H61" s="19"/>
      <c r="I61" s="37"/>
      <c r="L61" s="36"/>
      <c r="M61" s="19" t="s">
        <v>107</v>
      </c>
      <c r="N61" s="19"/>
      <c r="O61" s="19"/>
      <c r="P61" s="19"/>
      <c r="Q61" s="37"/>
    </row>
    <row r="62" spans="3:17" x14ac:dyDescent="0.2">
      <c r="C62" s="38"/>
      <c r="D62" s="39"/>
      <c r="E62" s="39" t="s">
        <v>76</v>
      </c>
      <c r="F62" s="39"/>
      <c r="G62" s="39"/>
      <c r="H62" s="39"/>
      <c r="I62" s="40"/>
      <c r="L62" s="36" t="s">
        <v>108</v>
      </c>
      <c r="M62" s="19"/>
      <c r="N62" s="19"/>
      <c r="O62" s="19"/>
      <c r="P62" s="19"/>
      <c r="Q62" s="37"/>
    </row>
    <row r="63" spans="3:17" x14ac:dyDescent="0.2">
      <c r="L63" s="36"/>
      <c r="M63" s="19" t="s">
        <v>109</v>
      </c>
      <c r="N63" s="19"/>
      <c r="O63" s="19"/>
      <c r="P63" s="19"/>
      <c r="Q63" s="37"/>
    </row>
    <row r="64" spans="3:17" x14ac:dyDescent="0.2">
      <c r="C64" s="33" t="s">
        <v>77</v>
      </c>
      <c r="D64" s="34"/>
      <c r="E64" s="34"/>
      <c r="F64" s="34"/>
      <c r="G64" s="34"/>
      <c r="H64" s="34"/>
      <c r="I64" s="35"/>
      <c r="L64" s="38"/>
      <c r="M64" s="39" t="s">
        <v>107</v>
      </c>
      <c r="N64" s="39"/>
      <c r="O64" s="39"/>
      <c r="P64" s="39"/>
      <c r="Q64" s="40"/>
    </row>
    <row r="65" spans="3:17" x14ac:dyDescent="0.2">
      <c r="C65" s="36"/>
      <c r="D65" s="19" t="s">
        <v>78</v>
      </c>
      <c r="E65" s="19"/>
      <c r="F65" s="19"/>
      <c r="G65" s="19"/>
      <c r="H65" s="19"/>
      <c r="I65" s="37"/>
    </row>
    <row r="66" spans="3:17" x14ac:dyDescent="0.2">
      <c r="C66" s="36"/>
      <c r="D66" s="19" t="s">
        <v>79</v>
      </c>
      <c r="E66" s="19"/>
      <c r="F66" s="19"/>
      <c r="G66" s="19"/>
      <c r="H66" s="19"/>
      <c r="I66" s="37"/>
      <c r="L66" s="33" t="s">
        <v>101</v>
      </c>
      <c r="M66" s="34"/>
      <c r="N66" s="34"/>
      <c r="O66" s="34"/>
      <c r="P66" s="34"/>
      <c r="Q66" s="35"/>
    </row>
    <row r="67" spans="3:17" x14ac:dyDescent="0.2">
      <c r="C67" s="36"/>
      <c r="D67" s="19"/>
      <c r="E67" s="19"/>
      <c r="F67" s="19"/>
      <c r="G67" s="19"/>
      <c r="H67" s="19"/>
      <c r="I67" s="37"/>
      <c r="L67" s="36"/>
      <c r="M67" s="19" t="s">
        <v>102</v>
      </c>
      <c r="N67" s="19"/>
      <c r="O67" s="19"/>
      <c r="P67" s="19"/>
      <c r="Q67" s="37"/>
    </row>
    <row r="68" spans="3:17" x14ac:dyDescent="0.2">
      <c r="C68" s="36" t="s">
        <v>80</v>
      </c>
      <c r="D68" s="19"/>
      <c r="E68" s="19"/>
      <c r="F68" s="19"/>
      <c r="G68" s="19"/>
      <c r="H68" s="19"/>
      <c r="I68" s="37"/>
      <c r="L68" s="36"/>
      <c r="M68" s="19"/>
      <c r="N68" s="19" t="s">
        <v>103</v>
      </c>
      <c r="O68" s="19"/>
      <c r="P68" s="19"/>
      <c r="Q68" s="37"/>
    </row>
    <row r="69" spans="3:17" x14ac:dyDescent="0.2">
      <c r="C69" s="38"/>
      <c r="D69" s="39" t="s">
        <v>81</v>
      </c>
      <c r="E69" s="39"/>
      <c r="F69" s="39"/>
      <c r="G69" s="39"/>
      <c r="H69" s="39"/>
      <c r="I69" s="40"/>
      <c r="L69" s="36"/>
      <c r="M69" s="19"/>
      <c r="N69" s="19" t="s">
        <v>104</v>
      </c>
      <c r="O69" s="19"/>
      <c r="P69" s="19"/>
      <c r="Q69" s="37"/>
    </row>
    <row r="70" spans="3:17" x14ac:dyDescent="0.2">
      <c r="L70" s="36"/>
      <c r="M70" s="19"/>
      <c r="N70" s="19" t="s">
        <v>99</v>
      </c>
      <c r="O70" s="19"/>
      <c r="P70" s="19"/>
      <c r="Q70" s="37"/>
    </row>
    <row r="71" spans="3:17" x14ac:dyDescent="0.2">
      <c r="L71" s="36"/>
      <c r="M71" s="19" t="s">
        <v>105</v>
      </c>
      <c r="N71" s="19"/>
      <c r="O71" s="19"/>
      <c r="P71" s="19"/>
      <c r="Q71" s="37"/>
    </row>
    <row r="72" spans="3:17" x14ac:dyDescent="0.2">
      <c r="L72" s="36"/>
      <c r="M72" s="19"/>
      <c r="N72" s="19" t="s">
        <v>106</v>
      </c>
      <c r="O72" s="19"/>
      <c r="P72" s="19"/>
      <c r="Q72" s="37"/>
    </row>
    <row r="73" spans="3:17" x14ac:dyDescent="0.2">
      <c r="L73" s="36"/>
      <c r="M73" s="19"/>
      <c r="N73" s="19"/>
      <c r="O73" s="19"/>
      <c r="P73" s="19"/>
      <c r="Q73" s="37"/>
    </row>
    <row r="74" spans="3:17" x14ac:dyDescent="0.2">
      <c r="L74" s="36" t="s">
        <v>110</v>
      </c>
      <c r="M74" s="19"/>
      <c r="N74" s="19"/>
      <c r="O74" s="19"/>
      <c r="P74" s="19"/>
      <c r="Q74" s="37"/>
    </row>
    <row r="75" spans="3:17" x14ac:dyDescent="0.2">
      <c r="L75" s="36"/>
      <c r="M75" s="19" t="s">
        <v>111</v>
      </c>
      <c r="N75" s="19"/>
      <c r="O75" s="19"/>
      <c r="P75" s="19"/>
      <c r="Q75" s="37"/>
    </row>
    <row r="76" spans="3:17" x14ac:dyDescent="0.2">
      <c r="L76" s="38"/>
      <c r="M76" s="39" t="s">
        <v>112</v>
      </c>
      <c r="N76" s="39"/>
      <c r="O76" s="39"/>
      <c r="P76" s="39"/>
      <c r="Q76" s="40"/>
    </row>
    <row r="78" spans="3:17" x14ac:dyDescent="0.2">
      <c r="L78" s="33" t="s">
        <v>113</v>
      </c>
      <c r="M78" s="34"/>
      <c r="N78" s="34"/>
      <c r="O78" s="34"/>
      <c r="P78" s="34"/>
      <c r="Q78" s="35"/>
    </row>
    <row r="79" spans="3:17" x14ac:dyDescent="0.2">
      <c r="L79" s="36"/>
      <c r="M79" s="19" t="s">
        <v>114</v>
      </c>
      <c r="N79" s="19"/>
      <c r="O79" s="19"/>
      <c r="P79" s="19"/>
      <c r="Q79" s="37"/>
    </row>
    <row r="80" spans="3:17" x14ac:dyDescent="0.2">
      <c r="L80" s="36"/>
      <c r="M80" s="19" t="s">
        <v>115</v>
      </c>
      <c r="N80" s="19"/>
      <c r="O80" s="19"/>
      <c r="P80" s="19"/>
      <c r="Q80" s="37"/>
    </row>
    <row r="81" spans="12:17" x14ac:dyDescent="0.2">
      <c r="L81" s="36"/>
      <c r="M81" s="19"/>
      <c r="N81" s="19"/>
      <c r="O81" s="19"/>
      <c r="P81" s="19"/>
      <c r="Q81" s="37"/>
    </row>
    <row r="82" spans="12:17" x14ac:dyDescent="0.2">
      <c r="L82" s="38" t="s">
        <v>116</v>
      </c>
      <c r="M82" s="39"/>
      <c r="N82" s="39"/>
      <c r="O82" s="39"/>
      <c r="P82" s="39"/>
      <c r="Q82" s="40"/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행렬미분_구현</vt:lpstr>
      <vt:lpstr>수식_설명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2026-01-21T10:03:23Z</dcterms:modified>
</cp:coreProperties>
</file>