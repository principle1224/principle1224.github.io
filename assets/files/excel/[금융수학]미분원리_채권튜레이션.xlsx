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0_사용안내" sheetId="2" r:id="rId1"/>
    <sheet name="0_학습가이드" sheetId="1" r:id="rId2"/>
    <sheet name="1_미분기초" sheetId="3" r:id="rId3"/>
    <sheet name="2_거듭제곱법칙" sheetId="4" r:id="rId4"/>
    <sheet name="3_채권가격미분" sheetId="5" r:id="rId5"/>
    <sheet name="4_수치검증" sheetId="6" r:id="rId6"/>
    <sheet name="5_전체요약" sheetId="7" r:id="rId7"/>
  </sheets>
  <externalReferences>
    <externalReference r:id="rId8"/>
  </externalReferenc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7" l="1"/>
  <c r="D19" i="7" s="1"/>
  <c r="D15" i="7"/>
  <c r="C19" i="6"/>
  <c r="D19" i="6" s="1"/>
  <c r="C18" i="6"/>
  <c r="D18" i="6" s="1"/>
  <c r="C17" i="6"/>
  <c r="D17" i="6" s="1"/>
  <c r="C16" i="6"/>
  <c r="D16" i="6" s="1"/>
  <c r="C15" i="6"/>
  <c r="D15" i="6" s="1"/>
  <c r="C14" i="6"/>
  <c r="D14" i="6" s="1"/>
  <c r="E14" i="6" s="1"/>
  <c r="D13" i="6"/>
  <c r="E13" i="6" s="1"/>
  <c r="C13" i="6"/>
  <c r="C12" i="6"/>
  <c r="D12" i="6" s="1"/>
  <c r="E12" i="6" s="1"/>
  <c r="C7" i="6"/>
  <c r="C8" i="6" s="1"/>
  <c r="D44" i="5"/>
  <c r="C44" i="5"/>
  <c r="D43" i="5"/>
  <c r="D42" i="5"/>
  <c r="D40" i="5"/>
  <c r="C40" i="5"/>
  <c r="D39" i="5"/>
  <c r="C39" i="5"/>
  <c r="D38" i="5"/>
  <c r="C38" i="5"/>
  <c r="D37" i="5"/>
  <c r="C37" i="5"/>
  <c r="D36" i="5"/>
  <c r="C36" i="5"/>
  <c r="D35" i="5"/>
  <c r="C14" i="5"/>
  <c r="C15" i="5" s="1"/>
  <c r="C16" i="5" s="1"/>
  <c r="D10" i="5"/>
  <c r="C43" i="5" s="1"/>
  <c r="C34" i="4"/>
  <c r="D34" i="4" s="1"/>
  <c r="C33" i="4"/>
  <c r="D33" i="4" s="1"/>
  <c r="C32" i="4"/>
  <c r="D32" i="4" s="1"/>
  <c r="C31" i="4"/>
  <c r="D31" i="4" s="1"/>
  <c r="C30" i="4"/>
  <c r="D30" i="4" s="1"/>
  <c r="C29" i="4"/>
  <c r="D29" i="4" s="1"/>
  <c r="C28" i="4"/>
  <c r="D28" i="4" s="1"/>
  <c r="C27" i="4"/>
  <c r="D27" i="4" s="1"/>
  <c r="C26" i="4"/>
  <c r="D26" i="4" s="1"/>
  <c r="G21" i="4"/>
  <c r="E21" i="4"/>
  <c r="F21" i="4" s="1"/>
  <c r="D21" i="4"/>
  <c r="G20" i="4"/>
  <c r="E20" i="4"/>
  <c r="F20" i="4" s="1"/>
  <c r="D20" i="4"/>
  <c r="G19" i="4"/>
  <c r="E19" i="4"/>
  <c r="F19" i="4" s="1"/>
  <c r="D19" i="4"/>
  <c r="G18" i="4"/>
  <c r="F18" i="4"/>
  <c r="E18" i="4"/>
  <c r="D18" i="4"/>
  <c r="G17" i="4"/>
  <c r="E17" i="4"/>
  <c r="F17" i="4" s="1"/>
  <c r="D17" i="4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E26" i="3"/>
  <c r="D26" i="3"/>
  <c r="F26" i="3" s="1"/>
  <c r="G26" i="3" s="1"/>
  <c r="E25" i="3"/>
  <c r="D25" i="3"/>
  <c r="F25" i="3" s="1"/>
  <c r="G25" i="3" s="1"/>
  <c r="F24" i="3"/>
  <c r="G24" i="3" s="1"/>
  <c r="E24" i="3"/>
  <c r="D24" i="3"/>
  <c r="E23" i="3"/>
  <c r="D23" i="3"/>
  <c r="F23" i="3" s="1"/>
  <c r="G23" i="3" s="1"/>
  <c r="E22" i="3"/>
  <c r="D22" i="3"/>
  <c r="F22" i="3" s="1"/>
  <c r="G22" i="3" s="1"/>
  <c r="E21" i="3"/>
  <c r="D21" i="3"/>
  <c r="F21" i="3" s="1"/>
  <c r="G21" i="3" s="1"/>
  <c r="D14" i="3"/>
  <c r="D13" i="3"/>
  <c r="D12" i="3"/>
  <c r="D11" i="3"/>
  <c r="D10" i="3"/>
  <c r="C15" i="2"/>
  <c r="G17" i="6" l="1"/>
  <c r="H17" i="6" s="1"/>
  <c r="G19" i="6"/>
  <c r="H19" i="6" s="1"/>
  <c r="G12" i="6"/>
  <c r="H12" i="6" s="1"/>
  <c r="G16" i="6"/>
  <c r="H16" i="6" s="1"/>
  <c r="G13" i="6"/>
  <c r="H13" i="6" s="1"/>
  <c r="G14" i="6"/>
  <c r="H14" i="6" s="1"/>
  <c r="I14" i="6" s="1"/>
  <c r="G15" i="6"/>
  <c r="H15" i="6" s="1"/>
  <c r="G18" i="6"/>
  <c r="H18" i="6" s="1"/>
  <c r="I13" i="6"/>
  <c r="I12" i="6"/>
  <c r="E15" i="6"/>
  <c r="I15" i="6" s="1"/>
  <c r="F17" i="6"/>
  <c r="F14" i="6"/>
  <c r="F18" i="6"/>
  <c r="F19" i="6"/>
  <c r="F12" i="6"/>
  <c r="F13" i="6"/>
  <c r="E16" i="6"/>
  <c r="I16" i="6" s="1"/>
  <c r="E17" i="6"/>
  <c r="I17" i="6" s="1"/>
  <c r="E18" i="6"/>
  <c r="E19" i="6"/>
  <c r="I19" i="6" s="1"/>
  <c r="C41" i="5"/>
  <c r="D41" i="5"/>
  <c r="C42" i="5"/>
  <c r="C35" i="5"/>
  <c r="I18" i="6" l="1"/>
  <c r="F15" i="6"/>
  <c r="F16" i="6"/>
</calcChain>
</file>

<file path=xl/sharedStrings.xml><?xml version="1.0" encoding="utf-8"?>
<sst xmlns="http://schemas.openxmlformats.org/spreadsheetml/2006/main" count="399" uniqueCount="372">
  <si>
    <t>학습 가이드</t>
  </si>
  <si>
    <t>1</t>
  </si>
  <si>
    <t>2</t>
  </si>
  <si>
    <t>3</t>
  </si>
  <si>
    <t>4</t>
  </si>
  <si>
    <t>단계</t>
  </si>
  <si>
    <t>학습 내용</t>
  </si>
  <si>
    <t>핵심 포인트</t>
  </si>
  <si>
    <t>포인트</t>
  </si>
  <si>
    <t>금융 실무에서의 활용</t>
  </si>
  <si>
    <t>영역</t>
  </si>
  <si>
    <t>활용</t>
  </si>
  <si>
    <t>관련 수학</t>
  </si>
  <si>
    <t>채권 트레이딩</t>
  </si>
  <si>
    <t>리스크 관리</t>
  </si>
  <si>
    <t>옵션 트레이딩</t>
  </si>
  <si>
    <t>퀀트 모델링</t>
  </si>
  <si>
    <t>시험</t>
  </si>
  <si>
    <t>출제 영역</t>
  </si>
  <si>
    <t>이 자료의 대응 시트</t>
  </si>
  <si>
    <t>CFA L1</t>
  </si>
  <si>
    <t>Fixed Income: Duration &amp; Convexity, Price-Yield Relationship</t>
  </si>
  <si>
    <t>CFA L2</t>
  </si>
  <si>
    <t>Term Structure Models, Interest Rate Risk</t>
  </si>
  <si>
    <t>FRM P1</t>
  </si>
  <si>
    <t>Valuation &amp; Risk Models: Bond Pricing, Duration, DV01</t>
  </si>
  <si>
    <t>FRM P2</t>
  </si>
  <si>
    <t>Market Risk: VaR for Fixed Income, Hedging Strategies</t>
  </si>
  <si>
    <t>학습 경로: 미분 -&gt; 수정듀레이션 -&gt; 포트폴리오 리스크</t>
  </si>
  <si>
    <t>STEP 1
미분의 정의</t>
  </si>
  <si>
    <t>미분은 "x가 아주 조금 변할 때 f(x)가 얼마나 변하는가"를 수학적으로 정의한 것임.
f(x)=x^2에서 x=3일 때 기울기를 구하는 과정을 직접 계산하며 체험함.
h를 줄이면 근사 기울기가 정확한 미분값 6에 수렴하는 것을 확인함.</t>
  </si>
  <si>
    <t>기초 개념. 여기서 막히면 이후 단계를 이해할 수 없으므로 반드시 숙지할 것.</t>
  </si>
  <si>
    <t>STEP 2
거듭제곱 법칙</t>
  </si>
  <si>
    <t>미분의 핵심 공식: f(x)=x^n -&gt; f'(x)=n*x^(n-1).
지수 n이 앞으로 내려오고, 지수가 1 줄어듦. 양수/음수/0 모두 동일하게 적용됨.
특히 x^(-n) = 1/x^n 의 미분이 채권 공식의 핵심임.</t>
  </si>
  <si>
    <t>이 법칙 하나로 채권 가격 미분이 가능해짐. STEP 3의 전제 조건임.</t>
  </si>
  <si>
    <t>STEP 3
채권 가격 미분</t>
  </si>
  <si>
    <t>P = C*(1+y)^(-n) 을 y로 미분하면 dP/dy = -n/(1+y) * P 가 됨.
이를 정리하면 (dP/dy)/P = -n/(1+y) = -MD (수정듀레이션).
STEP 2의 거듭제곱 법칙을 그대로 적용한 결과임.</t>
  </si>
  <si>
    <t>수정듀레이션의 수학적 유도 과정임. CFA/FRM 출제 빈도 높음.</t>
  </si>
  <si>
    <t>STEP 4
수치 검증</t>
  </si>
  <si>
    <t>실제 채권(한국투자캐피탈113-2)에 공식을 적용함.
금리를 +/-10bp, +/-100bp 등으로 실제로 변동시켜 가격을 재계산하고,
MD 공식으로 추정한 값과 비교함. 소폭 변동일수록 오차가 0에 수렴함.</t>
  </si>
  <si>
    <t>미분이 "작은 변화에 대한 근사"임을 실증함. 큰 변동에는 컨벡시티 필요.</t>
  </si>
  <si>
    <t>STEP 5
전체 요약</t>
  </si>
  <si>
    <t>미분 -&gt; 거듭제곱법칙 -&gt; 채권미분 -&gt; MD -&gt; 가격변동추정 -&gt; 포트폴리오 손익.
실제 투자금 5억, 금리+100bp 시나리오에서 약 -166만원 손실을 계산함.
이것이 채권 포트폴리오 시뮬레이터의 작동 원리임.</t>
  </si>
  <si>
    <t>이론과 실무의 연결. 시뮬레이터의 모든 숫자가 여기서 나옴.</t>
  </si>
  <si>
    <t>금리 변동 시 포트폴리오 PnL 즉시 산출. 헤지 비율 결정. 듀레이션 매칭.</t>
  </si>
  <si>
    <t>1차 미분 -&gt; MD</t>
  </si>
  <si>
    <t>금리 VaR 계산. 스트레스 테스트 시나리오별 손익 추정. 한도 관리.</t>
  </si>
  <si>
    <t>1차 미분 + 2차 미분(컨벡시티)</t>
  </si>
  <si>
    <t>Delta, Gamma, Vega 등 그릭스 계산. 옵션 가격 민감도 분석.</t>
  </si>
  <si>
    <t>편미분 (같은 원리의 확장)</t>
  </si>
  <si>
    <t>ALM(자산부채관리)</t>
  </si>
  <si>
    <t>보험사/은행의 자산-부채 듀레이션 갭 관리. 금리 면역(Immunization).</t>
  </si>
  <si>
    <t>MD + 컨벡시티 매칭</t>
  </si>
  <si>
    <t>블랙숄즈, 금리 기간구조 모형, 몬테카를로 시뮬레이션의 수학적 기초.</t>
  </si>
  <si>
    <t>미분방정식 (미분의 확장)</t>
  </si>
  <si>
    <t>CFA / FRM 시험 연결</t>
  </si>
  <si>
    <t>STEP 3~5 (듀레이션 유도+검증)</t>
  </si>
  <si>
    <t>STEP 4~5 (수치검증+실무적용)</t>
  </si>
  <si>
    <t>STEP 1~5 (전 과정)</t>
  </si>
  <si>
    <t>STEP 4~5 + 컨벡시티 확장</t>
  </si>
  <si>
    <t>이 자료를 마치면: 미분의 원리를 이해하고, 수정듀레이션을 스스로 유도할 수 있으며, 포트폴리오 금리 리스크를 계산할 수 있음</t>
  </si>
  <si>
    <t>왜 미분을 알아야 하는지</t>
  </si>
  <si>
    <t>금융수학 활용</t>
  </si>
  <si>
    <t>채권 트레이더가 금리 변동 리스크를 관리하려면, 금리가 1bp 움직일 때 포트폴리오 가치가 얼마나 변하는지 계산 가능해야 함.</t>
  </si>
  <si>
    <t>계산의 수학적 도구가 미분임. 미분을 모르면 듀레이션 공식을 외울 수는 있어도, 왜 그 공식이 맞는지, 언제 틀리는지 판단할 수 없음.</t>
  </si>
  <si>
    <t>FRM/CFA 시험에서 듀레이션, 컨벡시티, 그릭스(Greeks) 문제가 반복 출제됨. 이 모든 개념의 뿌리가 미분</t>
  </si>
  <si>
    <t>이 자료는 '공식 암기' 대신 '왜 이 공식이 이렇게 되는가'를 단계별로 보여줌. 입력값을 직접 바꿔보며 학습 체험.</t>
  </si>
  <si>
    <t>사용 안내</t>
  </si>
  <si>
    <t>이 교육 자료의 서식 규칙과 활용 방법</t>
  </si>
  <si>
    <t>셀 구분 체계</t>
  </si>
  <si>
    <t>구분</t>
  </si>
  <si>
    <t>표시 방식</t>
  </si>
  <si>
    <t>의미</t>
  </si>
  <si>
    <t>사용법</t>
  </si>
  <si>
    <t>입력값</t>
  </si>
  <si>
    <t>사용자가 변경 가능한 값</t>
  </si>
  <si>
    <t>이 셀의 숫자를 바꾸면 아래 모든 계산 결과가 자동으로 변함</t>
  </si>
  <si>
    <t>수식 결과</t>
  </si>
  <si>
    <t>엑셀 수식으로 자동 계산되는 값</t>
  </si>
  <si>
    <t>설명 팝업</t>
  </si>
  <si>
    <t>셀을 선택하면 설명이 말풍선으로 나타남</t>
  </si>
  <si>
    <t>빨간 삼각형 없이 클릭 시에만 팝업이 뜸</t>
  </si>
  <si>
    <t>핵심 결과</t>
  </si>
  <si>
    <t>주목해야 할 최종 계산 결과</t>
  </si>
  <si>
    <t>각 단계의 핵심 결론에 해당하는 값임</t>
  </si>
  <si>
    <t>섹션의 결론 문장</t>
  </si>
  <si>
    <t>해당 섹션에서 기억해야 할 핵심 메시지임</t>
  </si>
  <si>
    <t>보충 설명이나 공식 요약</t>
  </si>
  <si>
    <t>학습에 도움이 되는 배경 정보임</t>
  </si>
  <si>
    <t>셀 유형</t>
  </si>
  <si>
    <t>예시</t>
  </si>
  <si>
    <t>설명</t>
  </si>
  <si>
    <t>입력값 셀</t>
  </si>
  <si>
    <t>수식 결과 셀</t>
  </si>
  <si>
    <t>설명 팝업 셀</t>
  </si>
  <si>
    <t>이 셀을 클릭</t>
  </si>
  <si>
    <t>클릭하면 말풍선 팝업이 나타남</t>
  </si>
  <si>
    <t>핵심 결과 셀</t>
  </si>
  <si>
    <t>색상</t>
  </si>
  <si>
    <t>용도</t>
  </si>
  <si>
    <t>서브타이틀 배경</t>
  </si>
  <si>
    <t>테이블 짝수행 배경</t>
  </si>
  <si>
    <t>입력값 셀 배경</t>
  </si>
  <si>
    <t>수식 결과 셀 배경</t>
  </si>
  <si>
    <t>시트 구성</t>
  </si>
  <si>
    <t>시트</t>
  </si>
  <si>
    <t>내용</t>
  </si>
  <si>
    <t>핵심</t>
  </si>
  <si>
    <t>이 수학이 금융에서 왜 필요한지 상세 설명</t>
  </si>
  <si>
    <t>학습 동기 부여</t>
  </si>
  <si>
    <t>미분의 정의와 수치적 검증</t>
  </si>
  <si>
    <t>미분의 핵심 공식 패턴 정리</t>
  </si>
  <si>
    <t>채권 가격 공식에 미분 적용</t>
  </si>
  <si>
    <t>수정듀레이션 공식 유도</t>
  </si>
  <si>
    <t>실제 채권으로 공식 정확도 검증</t>
  </si>
  <si>
    <t>포트폴리오 시뮬레이터 연결</t>
  </si>
  <si>
    <t>파란 Bold 글씨 + 연파랑 배경 + 하단 굵은 파란선</t>
  </si>
  <si>
    <t>검정 글씨 + 연회색 배경 + 회색 테두리</t>
  </si>
  <si>
    <t>셀을 클릭하면 수식바에서 =수식을 확인할 수 있음</t>
  </si>
  <si>
    <t>시각 표시 없음 (깨끗한 셀)</t>
  </si>
  <si>
    <t>연금색 배경 + 빨간 Bold</t>
  </si>
  <si>
    <t>결론/요약</t>
  </si>
  <si>
    <t>연초록 배경 + 초록 Bold</t>
  </si>
  <si>
    <t>노트/참고</t>
  </si>
  <si>
    <t>연금색 배경 + 이탤릭</t>
  </si>
  <si>
    <t>실제 셀 예시 (아래 셀을 클릭해서 확인)</t>
  </si>
  <si>
    <t>파란Bold + 연파랑배경 + 하단파란선</t>
  </si>
  <si>
    <t>검정글씨 + 연회색배경. 클릭시 수식바 확인</t>
  </si>
  <si>
    <t>연금색배경 + 빨간Bold. 핵심 결과 강조</t>
  </si>
  <si>
    <t>색상 체계 (진한색 = 상위 위계, 연한색 = 하위 위계)</t>
  </si>
  <si>
    <t>NAVY (타이틀/헤더)</t>
  </si>
  <si>
    <t>시트 타이틀바, 테이블 헤더 배경</t>
  </si>
  <si>
    <t>DARK BLUE (서브타이틀)</t>
  </si>
  <si>
    <t>MID BLUE (섹션강조)</t>
  </si>
  <si>
    <t>섹션헤더 하단선, 단계번호 배경</t>
  </si>
  <si>
    <t>LIGHT BLUE (섹션배경)</t>
  </si>
  <si>
    <t>섹션헤더 배경, 기준행 강조</t>
  </si>
  <si>
    <t>PALE BLUE (짝수행)</t>
  </si>
  <si>
    <t>연파랑 (입력셀)</t>
  </si>
  <si>
    <t>연회색 (수식셀)</t>
  </si>
  <si>
    <t>연금색 (핵심결과)</t>
  </si>
  <si>
    <t>핵심 결과, 노트행 배경</t>
  </si>
  <si>
    <t>연초록 (결론)</t>
  </si>
  <si>
    <t>결론/요약행 배경</t>
  </si>
  <si>
    <t>연빨강 (경고/손실)</t>
  </si>
  <si>
    <t>경고, 손실 결과 배경</t>
  </si>
  <si>
    <t>0_학습가이드</t>
  </si>
  <si>
    <t>1_미분기초</t>
  </si>
  <si>
    <t>h-&gt;0 수렴으로 미분 원리 체험</t>
  </si>
  <si>
    <t>2_거듭제곱법칙</t>
  </si>
  <si>
    <t>x^n -&gt; n*x^(n-1) 증명</t>
  </si>
  <si>
    <t>3_채권가격미분</t>
  </si>
  <si>
    <t>4_수치검증</t>
  </si>
  <si>
    <t>공식 vs 실제 오차 비교</t>
  </si>
  <si>
    <t>5_전체요약</t>
  </si>
  <si>
    <t>전체 흐름 정리 + 실제 적용 예시</t>
  </si>
  <si>
    <t>모든 시트에서 파란색 입력값을 변경하면 수식이 자동 재계산됨. 직접 바꿔보며 학습할 것.</t>
  </si>
  <si>
    <t>변화의 비율을 구하는 수학적 도구</t>
  </si>
  <si>
    <t>항목</t>
  </si>
  <si>
    <t>값</t>
  </si>
  <si>
    <t>x + h</t>
  </si>
  <si>
    <t>f(x) = x^2</t>
  </si>
  <si>
    <t>f(x+h) = (x+h)^2</t>
  </si>
  <si>
    <t>f(x+h) - f(x)</t>
  </si>
  <si>
    <t>함수값의 변화량</t>
  </si>
  <si>
    <t>[f(x+h)-f(x)] / h</t>
  </si>
  <si>
    <t>x</t>
  </si>
  <si>
    <t>x+h</t>
  </si>
  <si>
    <t>f(x)=x^2</t>
  </si>
  <si>
    <t>f(x+h)=(x+h)^2</t>
  </si>
  <si>
    <t>[f(x+h)-f(x)]/h</t>
  </si>
  <si>
    <t>핵심 개념 정리</t>
  </si>
  <si>
    <t>개념</t>
  </si>
  <si>
    <t>수학 표현</t>
  </si>
  <si>
    <t>미분의 정의</t>
  </si>
  <si>
    <t>lim(h-&gt;0) [f(x+h)-f(x)] / h</t>
  </si>
  <si>
    <t>함수의 순간 변화율을 구하는 연산임</t>
  </si>
  <si>
    <t>기하학적 의미</t>
  </si>
  <si>
    <t>접선의 기울기</t>
  </si>
  <si>
    <t>곡선 위 한 점에서의 기울기를 뜻함</t>
  </si>
  <si>
    <t>금융 적용</t>
  </si>
  <si>
    <t>가격 민감도</t>
  </si>
  <si>
    <t>금리 변화에 따른 채권 가격 변동 측정에 사용함</t>
  </si>
  <si>
    <t>f(x)=x²</t>
  </si>
  <si>
    <t>STEP 1. 미분(微分)의 정의</t>
  </si>
  <si>
    <t>미분 = x가 아주 조금 변할 때, f(x)가 얼마나 변하는가 = 변화의 비율 = 기울기</t>
  </si>
  <si>
    <t>예시: f(x) = x^2 에서 x=3일 때 기울기 구하기</t>
  </si>
  <si>
    <t>수식/입력</t>
  </si>
  <si>
    <t>x 값</t>
  </si>
  <si>
    <t>현재 위치 (입력값)</t>
  </si>
  <si>
    <t>h (미소 변화)</t>
  </si>
  <si>
    <t>극한으로 0에 보내는 작은 변화량</t>
  </si>
  <si>
    <t>x에서 h만큼 이동한 위치</t>
  </si>
  <si>
    <t>x=3일 때 f(x) = 9</t>
  </si>
  <si>
    <t>x+h 지점의 함수값</t>
  </si>
  <si>
    <t>변화량을 h로 나눔 = 근사 기울기</t>
  </si>
  <si>
    <t>결론: h-&gt;0이면 이 비율이 정확한 미분값에 수렴함. f(x)=x^2의 미분 = 2x, x=3이면 6</t>
  </si>
  <si>
    <t>수렴 검증: h를 줄이면 기울기가 6에 수렴하는지 확인</t>
  </si>
  <si>
    <t>h 값</t>
  </si>
  <si>
    <t>h가 작아질수록 값이 6.000000에 수렴 = 이것이 미분의 원리임</t>
  </si>
  <si>
    <t>그래프: f(x) = x² 곡선과 x=3에서의 접선 (기울기 = 미분값 6)</t>
  </si>
  <si>
    <t>접선 y=6(x-3)+9</t>
  </si>
  <si>
    <t>그래프: h를 줄이면 근사 기울기가 정확한 미분값 6에 수렴</t>
  </si>
  <si>
    <t>거듭제곱 법칙 패턴 정리</t>
  </si>
  <si>
    <t>f(x)</t>
  </si>
  <si>
    <t>x^2</t>
  </si>
  <si>
    <t>2 *</t>
  </si>
  <si>
    <t>2-1 = 1</t>
  </si>
  <si>
    <t>2x^1 = 2x</t>
  </si>
  <si>
    <t>x^3</t>
  </si>
  <si>
    <t>3 *</t>
  </si>
  <si>
    <t>3-1 = 2</t>
  </si>
  <si>
    <t>3x^2</t>
  </si>
  <si>
    <t>x^5</t>
  </si>
  <si>
    <t>5 *</t>
  </si>
  <si>
    <t>5-1 = 4</t>
  </si>
  <si>
    <t>5x^4</t>
  </si>
  <si>
    <t>같은 패턴 반복</t>
  </si>
  <si>
    <t>x^1 = x</t>
  </si>
  <si>
    <t>1 *</t>
  </si>
  <si>
    <t>1-1 = 0</t>
  </si>
  <si>
    <t>1*x^0 = 1</t>
  </si>
  <si>
    <t>0 *</t>
  </si>
  <si>
    <t>-</t>
  </si>
  <si>
    <t>상수는 변화가 없으므로</t>
  </si>
  <si>
    <t>x^(-1) = 1/x</t>
  </si>
  <si>
    <t>-1 *</t>
  </si>
  <si>
    <t>-1-1 = -2</t>
  </si>
  <si>
    <t>-1*x^(-2) = -1/x^2</t>
  </si>
  <si>
    <t>음의 지수도 동일 적용</t>
  </si>
  <si>
    <t>x^(-n) = 1/x^n</t>
  </si>
  <si>
    <t>-n</t>
  </si>
  <si>
    <t>-n *</t>
  </si>
  <si>
    <t>-n-1</t>
  </si>
  <si>
    <t>-n * x^(-n-1)</t>
  </si>
  <si>
    <t>채권 공식의 핵심</t>
  </si>
  <si>
    <t>f(x)=x^3</t>
  </si>
  <si>
    <t>f(x+h)=(x+h)^3</t>
  </si>
  <si>
    <t>h</t>
  </si>
  <si>
    <t>근사미분</t>
  </si>
  <si>
    <t>STEP 2. 거듭제곱 법칙 (Power Rule)</t>
  </si>
  <si>
    <t>미분의 가장 핵심 공식: f(x) = x^n  -&gt;  f'(x) = n * x^(n-1)</t>
  </si>
  <si>
    <t>법칙: 지수 n이 앞으로 내려오고, 지수가 1 줄어듦. 모든 미분의 출발점임.</t>
  </si>
  <si>
    <t>지수 n</t>
  </si>
  <si>
    <t>n이 앞으로</t>
  </si>
  <si>
    <t>지수 n-1</t>
  </si>
  <si>
    <t>미분 결과 f'(x)</t>
  </si>
  <si>
    <t>지수 2가 앞으로, 지수는 1로</t>
  </si>
  <si>
    <t>지수 3이 앞으로, 지수는 2로</t>
  </si>
  <si>
    <t>x^0=1이므로 상수 1</t>
  </si>
  <si>
    <t>x^0 = 1 (상수)</t>
  </si>
  <si>
    <t>0 (상수의 미분=0)</t>
  </si>
  <si>
    <t>수치 검증: f(x)=x^3 의 미분이 정말 3x^2 인지 확인</t>
  </si>
  <si>
    <t>h (미소변화)</t>
  </si>
  <si>
    <t>근사미분=Df/h</t>
  </si>
  <si>
    <t>공식미분=3x^2</t>
  </si>
  <si>
    <t>F열(근사)과 G열(공식)이 거의 일치 = 거듭제곱 법칙이 맞음을 수치로 증명 완료</t>
  </si>
  <si>
    <t>그래프: h를 줄이면 근사미분이 공식미분(27)에 수렴 (x=3 기준)</t>
  </si>
  <si>
    <t>오차(%)</t>
  </si>
  <si>
    <t>기호</t>
  </si>
  <si>
    <t>C</t>
  </si>
  <si>
    <t>만기 시 돌려받는 금액</t>
  </si>
  <si>
    <t>y</t>
  </si>
  <si>
    <t>5.76% = 0.0576</t>
  </si>
  <si>
    <t>잔존연수</t>
  </si>
  <si>
    <t>n</t>
  </si>
  <si>
    <t>계산 단계</t>
  </si>
  <si>
    <t>수식</t>
  </si>
  <si>
    <t>(1) 1 + y</t>
  </si>
  <si>
    <t>1 + YTM</t>
  </si>
  <si>
    <t>(2) (1+y)^n</t>
  </si>
  <si>
    <t>(3) P = C / (1+y)^n</t>
  </si>
  <si>
    <t>미분 단계</t>
  </si>
  <si>
    <t>원래 함수</t>
  </si>
  <si>
    <t>P = C * (1+y)^(-n)</t>
  </si>
  <si>
    <t>채권 가격 공식</t>
  </si>
  <si>
    <t>거듭제곱 법칙 적용</t>
  </si>
  <si>
    <t>f(x)=x^n -&gt; f'(x)=n*x^(n-1)</t>
  </si>
  <si>
    <t>-n - 1 = -(n+1)</t>
  </si>
  <si>
    <t>미분 결과</t>
  </si>
  <si>
    <t>dP/dy = C * (-n) * (1+y)^(-n-1)</t>
  </si>
  <si>
    <t>거듭제곱 법칙 직접 적용 결과</t>
  </si>
  <si>
    <t>정리</t>
  </si>
  <si>
    <t>dP/dy = -n * C / (1+y)^(n+1)</t>
  </si>
  <si>
    <t>음의 지수를 분수로 변환</t>
  </si>
  <si>
    <t>변형</t>
  </si>
  <si>
    <t>-n / (1+y) * C / (1+y)^n</t>
  </si>
  <si>
    <t>치환</t>
  </si>
  <si>
    <t>-n / (1+y) * P</t>
  </si>
  <si>
    <t>최종 결과</t>
  </si>
  <si>
    <t>dP/dy / P = -n / (1+y)</t>
  </si>
  <si>
    <t>STEP 3. 채권 가격을 금리로 미분</t>
  </si>
  <si>
    <t>거듭제곱 법칙 -&gt; 수정듀레이션(Modified Duration) 유도</t>
  </si>
  <si>
    <t>3-1. 채권 가격 공식 (무이표채 기준)</t>
  </si>
  <si>
    <t>P = C / (1+y)^n = C * (1+y)^(-n)      P:가격, C:액면, y:YTM, n:잔존연수</t>
  </si>
  <si>
    <t>액면가(원)</t>
  </si>
  <si>
    <t>YTM (연수익률)</t>
  </si>
  <si>
    <t>잔존(개월)</t>
  </si>
  <si>
    <t>잔존 4.2개월 = 4.2/12년</t>
  </si>
  <si>
    <t>채권 가격 P = C / (1+y)^n 계산 과정</t>
  </si>
  <si>
    <t>(1)을 n제곱 = 할인계수</t>
  </si>
  <si>
    <t>액면을 할인계수로 나눔 = 현재가격</t>
  </si>
  <si>
    <t>3-2. 거듭제곱 법칙을 채권 가격에 적용 (미분 유도)</t>
  </si>
  <si>
    <t>P = C * (1+y)^(-n) 을 y로 미분 (거듭제곱 법칙 적용)</t>
  </si>
  <si>
    <t>지수(-n)가 앞으로 내려옴</t>
  </si>
  <si>
    <t>지수가 1 줄어듦: -n -&gt; -n-1</t>
  </si>
  <si>
    <t>(n+1)승 = n승 * 1승 분리</t>
  </si>
  <si>
    <t>C/(1+y)^n = P (원래 가격)</t>
  </si>
  <si>
    <t>가격대비 변화율 = 수정듀레이션</t>
  </si>
  <si>
    <t>수정듀레이션(MD) = n / (1+y). 금리가 Dy 변하면 가격은 약 -MD * Dy 만큼 변함</t>
  </si>
  <si>
    <t>그래프: 채권 가격-금리 곡선 (볼록성)과 접선 (듀레이션 근사)</t>
  </si>
  <si>
    <t>금리(y)</t>
  </si>
  <si>
    <t>실제가격 P</t>
  </si>
  <si>
    <t>MD접선근사</t>
  </si>
  <si>
    <t>미분 공식이 정말 맞는지 실제 가격 변화와 비교</t>
  </si>
  <si>
    <t>YTM</t>
  </si>
  <si>
    <t>STEP 4. 수치 검증</t>
  </si>
  <si>
    <t>입력값 (한국투자캐피탈113-2)</t>
  </si>
  <si>
    <t>액면(원)</t>
  </si>
  <si>
    <t>수정듀레이션(MD)</t>
  </si>
  <si>
    <t>금리 변동 시 가격 변화: 실제 계산 vs 수정듀레이션 추정</t>
  </si>
  <si>
    <t>금리변동(bp)</t>
  </si>
  <si>
    <t>새 금리(y')</t>
  </si>
  <si>
    <t>실제가격 P'</t>
  </si>
  <si>
    <t>실제변화(원)</t>
  </si>
  <si>
    <t>실제변화(%)</t>
  </si>
  <si>
    <t>MD추정변화(%)</t>
  </si>
  <si>
    <t>MD추정변화(원)</t>
  </si>
  <si>
    <t>오차(원)</t>
  </si>
  <si>
    <t>금리 변동이 작을수록(+/-10bp) 오차가 거의 0 = 미분 근사가 정확함</t>
  </si>
  <si>
    <t>금리 변동이 클수록(+/-200bp) 오차 증가 = 미분은 '작은 변화'에 대한 근사이므로 당연한 결과임</t>
  </si>
  <si>
    <t>그래프: 실제 가격변화(%)  vs  MD 추정변화(%)</t>
  </si>
  <si>
    <t>그래프: 금리 변동폭별 오차(원) - 미분 근사의 한계</t>
  </si>
  <si>
    <t>전체 흐름 요약</t>
  </si>
  <si>
    <t>채권 리스크 관리의 수학적 흐름</t>
  </si>
  <si>
    <t>무엇을</t>
  </si>
  <si>
    <t>어떻게</t>
  </si>
  <si>
    <t>결과</t>
  </si>
  <si>
    <t>거듭제곱 법칙</t>
  </si>
  <si>
    <t>x^n -&gt; n * x^(n-1)</t>
  </si>
  <si>
    <t>미분 공식의 핵심 도구</t>
  </si>
  <si>
    <t>현재 채권 가격</t>
  </si>
  <si>
    <t>채권 가격 미분</t>
  </si>
  <si>
    <t>dP/dy = -n/(1+y) * P</t>
  </si>
  <si>
    <t>금리 민감도</t>
  </si>
  <si>
    <t>5</t>
  </si>
  <si>
    <t>MD = n / (1+y)</t>
  </si>
  <si>
    <t>6</t>
  </si>
  <si>
    <t>가격 변동 추정</t>
  </si>
  <si>
    <t>DP = -MD * Dy * P</t>
  </si>
  <si>
    <t>7</t>
  </si>
  <si>
    <t>포트폴리오 적용</t>
  </si>
  <si>
    <t>계산</t>
  </si>
  <si>
    <t>MD</t>
  </si>
  <si>
    <t>금리 충격</t>
  </si>
  <si>
    <t>+100bp = +1%</t>
  </si>
  <si>
    <t>가격 변화율</t>
  </si>
  <si>
    <t>미분 -&gt; 수정듀레이션 -&gt; 포트폴리오 리스크 관리</t>
  </si>
  <si>
    <t>f(x)가 x의 작은 변화에 얼마나 반응하는지 측정</t>
  </si>
  <si>
    <t>변화의 비율 = 기울기</t>
  </si>
  <si>
    <t>금리 1% 변동 시 가격 변화율</t>
  </si>
  <si>
    <t>금리 +50bp -&gt; 가격 약 -MD*0.5%</t>
  </si>
  <si>
    <t>각 종목 DP * 투자금 = 종목별 손익</t>
  </si>
  <si>
    <t>시뮬레이터의 금리+50bp 손익</t>
  </si>
  <si>
    <t>실제 적용 예시: 한국투자캐피탈113-2, 투자금 5억, 금리+100bp</t>
  </si>
  <si>
    <t>잔존연수 / (1+YTM)</t>
  </si>
  <si>
    <t>-MD * 금리 충격</t>
  </si>
  <si>
    <t>투자금(억)</t>
  </si>
  <si>
    <t>손익(만원)</t>
  </si>
  <si>
    <t>투자금 * 가격변화율 * 10000</t>
  </si>
  <si>
    <t>이 약 -166만원이 포트폴리오 시뮬레이터의 '금리+100bp 손익' 컬럼의 원리임</t>
  </si>
  <si>
    <t>시뮬레이터 값 -170만원과의 차이는 반올림 및 이표 효과 차이에 해당함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</si>
</sst>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00"/>
    <numFmt numFmtId="165" formatCode="0.000000"/>
    <numFmt numFmtId="166" formatCode="0.00000"/>
    <numFmt numFmtId="167" formatCode="0.0"/>
    <numFmt numFmtId="168" formatCode="0.0000"/>
    <numFmt numFmtId="169" formatCode="#,##0.000000"/>
    <numFmt numFmtId="170" formatCode="0.0000%"/>
    <numFmt numFmtId="171" formatCode="#,##0.0"/>
  </numFmts>
  <fonts count="24" x14ac:knownFonts="1">
    <font>
      <sz val="11"/>
      <color theme="1"/>
      <name val="Calibri"/>
      <family val="2"/>
      <scheme val="minor"/>
    </font>
    <font>
      <b/>
      <sz val="16"/>
      <color rgb="FFFFFFFF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3"/>
      <color rgb="FF1B2A4A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0"/>
      <color rgb="FF2C3E6B"/>
      <name val="맑은 고딕"/>
      <family val="3"/>
      <charset val="129"/>
    </font>
    <font>
      <sz val="10"/>
      <color rgb="FF2E7D32"/>
      <name val="맑은 고딕"/>
      <family val="3"/>
      <charset val="129"/>
    </font>
    <font>
      <sz val="10"/>
      <color rgb="FF3A5BA0"/>
      <name val="맑은 고딕"/>
      <family val="3"/>
      <charset val="129"/>
    </font>
    <font>
      <b/>
      <sz val="10"/>
      <color rgb="FFC62828"/>
      <name val="맑은 고딕"/>
      <family val="3"/>
      <charset val="129"/>
    </font>
    <font>
      <b/>
      <sz val="10"/>
      <color rgb="FF2E7D32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C62828"/>
      <name val="맑은 고딕"/>
      <family val="3"/>
      <charset val="129"/>
    </font>
    <font>
      <b/>
      <sz val="10"/>
      <color rgb="FF1B2A4A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i/>
      <sz val="10"/>
      <color rgb="FF555555"/>
      <name val="맑은 고딕"/>
      <family val="3"/>
      <charset val="129"/>
    </font>
    <font>
      <sz val="10"/>
      <color rgb="FFC6282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666666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2C3E6B"/>
        <bgColor rgb="FF333333"/>
      </patternFill>
    </fill>
    <fill>
      <patternFill patternType="solid">
        <fgColor rgb="FFD6E4F0"/>
        <bgColor rgb="FFD9D9D9"/>
      </patternFill>
    </fill>
    <fill>
      <patternFill patternType="solid">
        <fgColor rgb="FF3A5BA0"/>
        <bgColor rgb="FF555555"/>
      </patternFill>
    </fill>
    <fill>
      <patternFill patternType="solid">
        <fgColor rgb="FFEBF1F8"/>
        <bgColor rgb="FFE8F0FE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EBF1F8"/>
      </patternFill>
    </fill>
    <fill>
      <patternFill patternType="solid">
        <fgColor rgb="FFE8F0FE"/>
        <bgColor rgb="FFEBF1F8"/>
      </patternFill>
    </fill>
    <fill>
      <patternFill patternType="solid">
        <fgColor rgb="FFF5F5F5"/>
        <bgColor rgb="FFEBF1F8"/>
      </patternFill>
    </fill>
    <fill>
      <patternFill patternType="solid">
        <fgColor rgb="FFFFF8DC"/>
        <bgColor rgb="FFF5F5F5"/>
      </patternFill>
    </fill>
    <fill>
      <patternFill patternType="solid">
        <fgColor rgb="FFFDE8E8"/>
        <bgColor rgb="FFF5F5F5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3A5BA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4A86C8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0" borderId="0" xfId="0" applyFont="1"/>
    <xf numFmtId="0" fontId="3" fillId="3" borderId="0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vertical="center" wrapText="1"/>
    </xf>
    <xf numFmtId="0" fontId="11" fillId="8" borderId="0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vertical="center" wrapText="1"/>
    </xf>
    <xf numFmtId="0" fontId="12" fillId="7" borderId="2" xfId="0" applyFont="1" applyFill="1" applyBorder="1" applyAlignment="1">
      <alignment vertical="center" wrapText="1"/>
    </xf>
    <xf numFmtId="10" fontId="13" fillId="9" borderId="3" xfId="0" applyNumberFormat="1" applyFont="1" applyFill="1" applyBorder="1" applyAlignment="1">
      <alignment vertical="center" wrapText="1"/>
    </xf>
    <xf numFmtId="2" fontId="14" fillId="10" borderId="2" xfId="0" applyNumberFormat="1" applyFont="1" applyFill="1" applyBorder="1" applyAlignment="1">
      <alignment vertical="center" wrapText="1"/>
    </xf>
    <xf numFmtId="0" fontId="15" fillId="11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3" fillId="9" borderId="2" xfId="0" applyFont="1" applyFill="1" applyBorder="1" applyAlignment="1">
      <alignment vertical="center" wrapText="1"/>
    </xf>
    <xf numFmtId="0" fontId="18" fillId="10" borderId="2" xfId="0" applyFont="1" applyFill="1" applyBorder="1" applyAlignment="1">
      <alignment vertical="center" wrapText="1"/>
    </xf>
    <xf numFmtId="0" fontId="10" fillId="11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9" fillId="11" borderId="0" xfId="0" applyFont="1" applyFill="1" applyBorder="1" applyAlignment="1">
      <alignment horizontal="left" vertical="center" wrapText="1"/>
    </xf>
    <xf numFmtId="164" fontId="13" fillId="9" borderId="3" xfId="0" applyNumberFormat="1" applyFont="1" applyFill="1" applyBorder="1" applyAlignment="1">
      <alignment vertical="center" wrapText="1"/>
    </xf>
    <xf numFmtId="165" fontId="14" fillId="10" borderId="2" xfId="0" applyNumberFormat="1" applyFont="1" applyFill="1" applyBorder="1" applyAlignment="1">
      <alignment vertical="center" wrapText="1"/>
    </xf>
    <xf numFmtId="166" fontId="13" fillId="9" borderId="3" xfId="0" applyNumberFormat="1" applyFont="1" applyFill="1" applyBorder="1" applyAlignment="1">
      <alignment vertical="center" wrapText="1"/>
    </xf>
    <xf numFmtId="166" fontId="14" fillId="10" borderId="2" xfId="0" applyNumberFormat="1" applyFont="1" applyFill="1" applyBorder="1" applyAlignment="1">
      <alignment vertical="center" wrapText="1"/>
    </xf>
    <xf numFmtId="0" fontId="20" fillId="6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20" fillId="7" borderId="2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vertical="center" wrapText="1"/>
    </xf>
    <xf numFmtId="0" fontId="7" fillId="11" borderId="2" xfId="0" applyFont="1" applyFill="1" applyBorder="1" applyAlignment="1">
      <alignment vertical="center" wrapText="1"/>
    </xf>
    <xf numFmtId="0" fontId="6" fillId="11" borderId="2" xfId="0" applyFont="1" applyFill="1" applyBorder="1" applyAlignment="1">
      <alignment vertical="center" wrapText="1"/>
    </xf>
    <xf numFmtId="0" fontId="20" fillId="11" borderId="2" xfId="0" applyFont="1" applyFill="1" applyBorder="1" applyAlignment="1">
      <alignment vertical="center" wrapText="1"/>
    </xf>
    <xf numFmtId="0" fontId="11" fillId="11" borderId="2" xfId="0" applyFont="1" applyFill="1" applyBorder="1" applyAlignment="1">
      <alignment vertical="center" wrapText="1"/>
    </xf>
    <xf numFmtId="1" fontId="13" fillId="9" borderId="3" xfId="0" applyNumberFormat="1" applyFont="1" applyFill="1" applyBorder="1" applyAlignment="1">
      <alignment vertical="center" wrapText="1"/>
    </xf>
    <xf numFmtId="168" fontId="13" fillId="9" borderId="3" xfId="0" applyNumberFormat="1" applyFont="1" applyFill="1" applyBorder="1" applyAlignment="1">
      <alignment vertical="center" wrapText="1"/>
    </xf>
    <xf numFmtId="1" fontId="14" fillId="10" borderId="2" xfId="0" applyNumberFormat="1" applyFont="1" applyFill="1" applyBorder="1" applyAlignment="1">
      <alignment vertical="center" wrapText="1"/>
    </xf>
    <xf numFmtId="0" fontId="9" fillId="6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167" fontId="13" fillId="9" borderId="3" xfId="0" applyNumberFormat="1" applyFont="1" applyFill="1" applyBorder="1" applyAlignment="1">
      <alignment vertical="center" wrapText="1"/>
    </xf>
    <xf numFmtId="168" fontId="14" fillId="10" borderId="2" xfId="0" applyNumberFormat="1" applyFont="1" applyFill="1" applyBorder="1" applyAlignment="1">
      <alignment vertical="center" wrapText="1"/>
    </xf>
    <xf numFmtId="169" fontId="14" fillId="10" borderId="2" xfId="0" applyNumberFormat="1" applyFont="1" applyFill="1" applyBorder="1" applyAlignment="1">
      <alignment vertical="center" wrapText="1"/>
    </xf>
    <xf numFmtId="0" fontId="6" fillId="6" borderId="2" xfId="0" applyFont="1" applyFill="1" applyBorder="1"/>
    <xf numFmtId="1" fontId="13" fillId="9" borderId="3" xfId="0" applyNumberFormat="1" applyFont="1" applyFill="1" applyBorder="1"/>
    <xf numFmtId="10" fontId="13" fillId="9" borderId="3" xfId="0" applyNumberFormat="1" applyFont="1" applyFill="1" applyBorder="1"/>
    <xf numFmtId="167" fontId="13" fillId="9" borderId="3" xfId="0" applyNumberFormat="1" applyFont="1" applyFill="1" applyBorder="1"/>
    <xf numFmtId="168" fontId="14" fillId="10" borderId="2" xfId="0" applyNumberFormat="1" applyFont="1" applyFill="1" applyBorder="1"/>
    <xf numFmtId="170" fontId="14" fillId="10" borderId="2" xfId="0" applyNumberFormat="1" applyFont="1" applyFill="1" applyBorder="1" applyAlignment="1">
      <alignment vertical="center" wrapText="1"/>
    </xf>
    <xf numFmtId="4" fontId="14" fillId="10" borderId="2" xfId="0" applyNumberFormat="1" applyFont="1" applyFill="1" applyBorder="1" applyAlignment="1">
      <alignment vertical="center" wrapText="1"/>
    </xf>
    <xf numFmtId="1" fontId="13" fillId="4" borderId="3" xfId="0" applyNumberFormat="1" applyFont="1" applyFill="1" applyBorder="1" applyAlignment="1">
      <alignment vertical="center" wrapText="1"/>
    </xf>
    <xf numFmtId="170" fontId="14" fillId="4" borderId="2" xfId="0" applyNumberFormat="1" applyFont="1" applyFill="1" applyBorder="1" applyAlignment="1">
      <alignment vertical="center" wrapText="1"/>
    </xf>
    <xf numFmtId="4" fontId="14" fillId="4" borderId="2" xfId="0" applyNumberFormat="1" applyFont="1" applyFill="1" applyBorder="1" applyAlignment="1">
      <alignment vertical="center" wrapText="1"/>
    </xf>
    <xf numFmtId="168" fontId="14" fillId="4" borderId="2" xfId="0" applyNumberFormat="1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left" vertical="center"/>
    </xf>
    <xf numFmtId="0" fontId="21" fillId="0" borderId="0" xfId="0" applyFont="1"/>
    <xf numFmtId="0" fontId="22" fillId="3" borderId="0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23" fillId="6" borderId="2" xfId="0" applyFont="1" applyFill="1" applyBorder="1" applyAlignment="1">
      <alignment vertical="center" wrapText="1"/>
    </xf>
    <xf numFmtId="0" fontId="23" fillId="7" borderId="2" xfId="0" applyFont="1" applyFill="1" applyBorder="1" applyAlignment="1">
      <alignment vertical="center" wrapText="1"/>
    </xf>
    <xf numFmtId="169" fontId="11" fillId="8" borderId="2" xfId="0" applyNumberFormat="1" applyFont="1" applyFill="1" applyBorder="1" applyAlignment="1">
      <alignment vertical="center" wrapText="1"/>
    </xf>
    <xf numFmtId="0" fontId="23" fillId="11" borderId="2" xfId="0" applyFont="1" applyFill="1" applyBorder="1" applyAlignment="1">
      <alignment vertical="center" wrapText="1"/>
    </xf>
    <xf numFmtId="0" fontId="23" fillId="0" borderId="0" xfId="0" applyFont="1"/>
    <xf numFmtId="10" fontId="23" fillId="0" borderId="0" xfId="0" applyNumberFormat="1" applyFont="1"/>
    <xf numFmtId="4" fontId="23" fillId="0" borderId="0" xfId="0" applyNumberFormat="1" applyFont="1"/>
    <xf numFmtId="168" fontId="23" fillId="0" borderId="0" xfId="0" applyNumberFormat="1" applyFont="1"/>
    <xf numFmtId="165" fontId="23" fillId="0" borderId="0" xfId="0" applyNumberFormat="1" applyFont="1"/>
    <xf numFmtId="165" fontId="10" fillId="11" borderId="2" xfId="0" applyNumberFormat="1" applyFont="1" applyFill="1" applyBorder="1" applyAlignment="1">
      <alignment vertical="center" wrapText="1"/>
    </xf>
    <xf numFmtId="167" fontId="23" fillId="0" borderId="0" xfId="0" applyNumberFormat="1" applyFont="1"/>
    <xf numFmtId="171" fontId="10" fillId="12" borderId="2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f(x) = x²  vs 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접선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기울기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=6)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f(x) = x²</c:v>
          </c:tx>
          <c:spPr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'[1]1_미분기초'!$B$37:$B$49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'[1]1_미분기초'!$C$36:$C$49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1</c:v>
                </c:pt>
                <c:pt idx="4">
                  <c:v>2.25</c:v>
                </c:pt>
                <c:pt idx="5">
                  <c:v>4</c:v>
                </c:pt>
                <c:pt idx="6">
                  <c:v>6.25</c:v>
                </c:pt>
                <c:pt idx="7">
                  <c:v>9</c:v>
                </c:pt>
                <c:pt idx="8">
                  <c:v>12.25</c:v>
                </c:pt>
                <c:pt idx="9">
                  <c:v>16</c:v>
                </c:pt>
                <c:pt idx="10">
                  <c:v>20.25</c:v>
                </c:pt>
                <c:pt idx="11">
                  <c:v>25</c:v>
                </c:pt>
                <c:pt idx="12">
                  <c:v>30.25</c:v>
                </c:pt>
                <c:pt idx="13">
                  <c:v>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16-401A-9118-4C2B6F44361F}"/>
            </c:ext>
          </c:extLst>
        </c:ser>
        <c:ser>
          <c:idx val="1"/>
          <c:order val="1"/>
          <c:tx>
            <c:v>접선: y = 6(x-3)+9</c:v>
          </c:tx>
          <c:spPr>
            <a:ln w="2016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'[1]1_미분기초'!$B$37:$B$49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'[1]1_미분기초'!$D$36:$D$49</c:f>
              <c:numCache>
                <c:formatCode>General</c:formatCode>
                <c:ptCount val="14"/>
                <c:pt idx="0">
                  <c:v>0</c:v>
                </c:pt>
                <c:pt idx="1">
                  <c:v>-9</c:v>
                </c:pt>
                <c:pt idx="2">
                  <c:v>-6</c:v>
                </c:pt>
                <c:pt idx="3">
                  <c:v>-3</c:v>
                </c:pt>
                <c:pt idx="4">
                  <c:v>0</c:v>
                </c:pt>
                <c:pt idx="5">
                  <c:v>3</c:v>
                </c:pt>
                <c:pt idx="6">
                  <c:v>6</c:v>
                </c:pt>
                <c:pt idx="7">
                  <c:v>9</c:v>
                </c:pt>
                <c:pt idx="8">
                  <c:v>12</c:v>
                </c:pt>
                <c:pt idx="9">
                  <c:v>15</c:v>
                </c:pt>
                <c:pt idx="10">
                  <c:v>18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16-401A-9118-4C2B6F443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69632"/>
        <c:axId val="3412918"/>
      </c:scatterChart>
      <c:valAx>
        <c:axId val="2936963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12918"/>
        <c:crosses val="autoZero"/>
        <c:crossBetween val="midCat"/>
      </c:valAx>
      <c:valAx>
        <c:axId val="3412918"/>
        <c:scaling>
          <c:orientation val="minMax"/>
          <c:max val="4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f(x)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369632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감소에 따른 근사 미분값 수렴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근사 기울기</c:v>
          </c:tx>
          <c:spPr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'[1]1_미분기초'!$B$21:$B$26</c:f>
              <c:numCache>
                <c:formatCode>0.00000</c:formatCode>
                <c:ptCount val="6"/>
                <c:pt idx="0">
                  <c:v>1</c:v>
                </c:pt>
                <c:pt idx="1">
                  <c:v>0.1</c:v>
                </c:pt>
                <c:pt idx="2">
                  <c:v>0.01</c:v>
                </c:pt>
                <c:pt idx="3">
                  <c:v>1E-3</c:v>
                </c:pt>
                <c:pt idx="4">
                  <c:v>1E-4</c:v>
                </c:pt>
                <c:pt idx="5">
                  <c:v>1.0000000000000001E-5</c:v>
                </c:pt>
              </c:numCache>
            </c:numRef>
          </c:xVal>
          <c:yVal>
            <c:numRef>
              <c:f>'[1]1_미분기초'!$G$20:$G$26</c:f>
              <c:numCache>
                <c:formatCode>0.000000</c:formatCode>
                <c:ptCount val="7"/>
                <c:pt idx="0" formatCode="General">
                  <c:v>0</c:v>
                </c:pt>
                <c:pt idx="1">
                  <c:v>7</c:v>
                </c:pt>
                <c:pt idx="2">
                  <c:v>6.1000000000000121</c:v>
                </c:pt>
                <c:pt idx="3">
                  <c:v>6.0099999999998488</c:v>
                </c:pt>
                <c:pt idx="4">
                  <c:v>6.000999999999479</c:v>
                </c:pt>
                <c:pt idx="5">
                  <c:v>6.0001000000120541</c:v>
                </c:pt>
                <c:pt idx="6">
                  <c:v>6.0000099999513159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A-462E-98ED-E616765FA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6756"/>
        <c:axId val="84890550"/>
      </c:scatterChart>
      <c:valAx>
        <c:axId val="7066756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 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로그 스케일에서 보면 선형 수렴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890550"/>
        <c:crosses val="autoZero"/>
        <c:crossBetween val="midCat"/>
      </c:valAx>
      <c:valAx>
        <c:axId val="84890550"/>
        <c:scaling>
          <c:orientation val="minMax"/>
          <c:max val="7.5"/>
          <c:min val="5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근사 기울기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[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f(x+h)-f(x)]/h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66756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감소에 따른 근사미분의 오차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(%)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수렴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[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x=3, f(x)=x³]</a:t>
            </a:r>
          </a:p>
        </c:rich>
      </c:tx>
      <c:layout>
        <c:manualLayout>
          <c:xMode val="edge"/>
          <c:yMode val="edge"/>
          <c:x val="0.11888541804156218"/>
          <c:y val="2.44246426052952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오차(%)</c:v>
          </c:tx>
          <c:spPr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'[1]2_거듭제곱법칙'!$B$26:$B$34</c:f>
              <c:numCache>
                <c:formatCode>0.0000</c:formatCode>
                <c:ptCount val="9"/>
                <c:pt idx="0">
                  <c:v>1</c:v>
                </c:pt>
                <c:pt idx="1">
                  <c:v>0.5</c:v>
                </c:pt>
                <c:pt idx="2">
                  <c:v>0.1</c:v>
                </c:pt>
                <c:pt idx="3">
                  <c:v>0.05</c:v>
                </c:pt>
                <c:pt idx="4">
                  <c:v>0.01</c:v>
                </c:pt>
                <c:pt idx="5">
                  <c:v>5.0000000000000001E-3</c:v>
                </c:pt>
                <c:pt idx="6">
                  <c:v>1E-3</c:v>
                </c:pt>
                <c:pt idx="7">
                  <c:v>5.0000000000000001E-4</c:v>
                </c:pt>
                <c:pt idx="8">
                  <c:v>1E-4</c:v>
                </c:pt>
              </c:numCache>
            </c:numRef>
          </c:xVal>
          <c:yVal>
            <c:numRef>
              <c:f>'[1]2_거듭제곱법칙'!$D$25:$D$34</c:f>
              <c:numCache>
                <c:formatCode>0.000000</c:formatCode>
                <c:ptCount val="10"/>
                <c:pt idx="0" formatCode="General">
                  <c:v>0</c:v>
                </c:pt>
                <c:pt idx="1">
                  <c:v>37.037037037037038</c:v>
                </c:pt>
                <c:pt idx="2">
                  <c:v>17.592592592592592</c:v>
                </c:pt>
                <c:pt idx="3">
                  <c:v>3.3703703703705159</c:v>
                </c:pt>
                <c:pt idx="4">
                  <c:v>1.6759259259253492</c:v>
                </c:pt>
                <c:pt idx="5">
                  <c:v>0.33370370370183389</c:v>
                </c:pt>
                <c:pt idx="6">
                  <c:v>0.16675925925782126</c:v>
                </c:pt>
                <c:pt idx="7">
                  <c:v>3.3337037022765463E-2</c:v>
                </c:pt>
                <c:pt idx="8">
                  <c:v>1.6667592623460022E-2</c:v>
                </c:pt>
                <c:pt idx="9">
                  <c:v>3.3333706137791863E-3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8A-4936-AEEA-3A483A62B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17558"/>
        <c:axId val="16314286"/>
      </c:scatterChart>
      <c:valAx>
        <c:axId val="51117558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314286"/>
        <c:crosses val="autoZero"/>
        <c:crossBetween val="midCat"/>
      </c:valAx>
      <c:valAx>
        <c:axId val="163142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오차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(%)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117558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채권 가격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vs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금리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볼록 곡선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+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접선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실제 가격 (볼록곡선)</c:v>
          </c:tx>
          <c:spPr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'[1]3_채권가격미분'!$B$35:$B$44</c:f>
              <c:numCache>
                <c:formatCode>0.00%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xVal>
          <c:yVal>
            <c:numRef>
              <c:f>'[1]3_채권가격미분'!$C$34:$C$44</c:f>
              <c:numCache>
                <c:formatCode>#,##0.00</c:formatCode>
                <c:ptCount val="11"/>
                <c:pt idx="0" formatCode="General">
                  <c:v>0</c:v>
                </c:pt>
                <c:pt idx="1">
                  <c:v>9965.2344147403346</c:v>
                </c:pt>
                <c:pt idx="2">
                  <c:v>9930.9304387444099</c:v>
                </c:pt>
                <c:pt idx="3">
                  <c:v>9897.0775066296192</c:v>
                </c:pt>
                <c:pt idx="4">
                  <c:v>9863.6653944150403</c:v>
                </c:pt>
                <c:pt idx="5">
                  <c:v>9830.6842053333694</c:v>
                </c:pt>
                <c:pt idx="6">
                  <c:v>9798.1243563611461</c:v>
                </c:pt>
                <c:pt idx="7">
                  <c:v>9765.9765654245712</c:v>
                </c:pt>
                <c:pt idx="8">
                  <c:v>9734.2318392410016</c:v>
                </c:pt>
                <c:pt idx="9">
                  <c:v>9702.8814617590706</c:v>
                </c:pt>
                <c:pt idx="10">
                  <c:v>9671.9169831626677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8A-4A9B-AF31-6CF4C7FF9D1C}"/>
            </c:ext>
          </c:extLst>
        </c:ser>
        <c:ser>
          <c:idx val="1"/>
          <c:order val="1"/>
          <c:tx>
            <c:v>MD 접선근사 (직선)</c:v>
          </c:tx>
          <c:spPr>
            <a:ln w="2016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'[1]3_채권가격미분'!$B$35:$B$44</c:f>
              <c:numCache>
                <c:formatCode>0.00%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xVal>
          <c:yVal>
            <c:numRef>
              <c:f>'[1]3_채권가격미분'!$D$34:$D$44</c:f>
              <c:numCache>
                <c:formatCode>#,##0.00</c:formatCode>
                <c:ptCount val="11"/>
                <c:pt idx="0" formatCode="General">
                  <c:v>0</c:v>
                </c:pt>
                <c:pt idx="1">
                  <c:v>9960.3696940898135</c:v>
                </c:pt>
                <c:pt idx="2">
                  <c:v>9927.9182447858147</c:v>
                </c:pt>
                <c:pt idx="3">
                  <c:v>9895.466795481816</c:v>
                </c:pt>
                <c:pt idx="4">
                  <c:v>9863.0153461778154</c:v>
                </c:pt>
                <c:pt idx="5">
                  <c:v>9830.5638968738167</c:v>
                </c:pt>
                <c:pt idx="6">
                  <c:v>9798.1124475698161</c:v>
                </c:pt>
                <c:pt idx="7">
                  <c:v>9765.6609982658174</c:v>
                </c:pt>
                <c:pt idx="8">
                  <c:v>9733.2095489618187</c:v>
                </c:pt>
                <c:pt idx="9">
                  <c:v>9700.7580996578181</c:v>
                </c:pt>
                <c:pt idx="10">
                  <c:v>9668.3066503538194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8A-4A9B-AF31-6CF4C7FF9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3503"/>
        <c:axId val="6029893"/>
      </c:scatterChart>
      <c:valAx>
        <c:axId val="117335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금리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YTM)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29893"/>
        <c:crosses val="autoZero"/>
        <c:crossBetween val="midCat"/>
      </c:valAx>
      <c:valAx>
        <c:axId val="6029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채권 가격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원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33503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실제 가격변화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(%)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vs MD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추정변화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(%)</a:t>
            </a:r>
          </a:p>
        </c:rich>
      </c:tx>
      <c:layout>
        <c:manualLayout>
          <c:xMode val="edge"/>
          <c:yMode val="edge"/>
          <c:x val="0.23457726547068214"/>
          <c:y val="5.0695061223267834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실제 변화(%)</c:v>
          </c:tx>
          <c:spPr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'[1]4_수치검증'!$B$12:$B$19</c:f>
              <c:numCache>
                <c:formatCode>0</c:formatCode>
                <c:ptCount val="8"/>
                <c:pt idx="0">
                  <c:v>-100</c:v>
                </c:pt>
                <c:pt idx="1">
                  <c:v>-50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</c:numCache>
            </c:numRef>
          </c:xVal>
          <c:yVal>
            <c:numRef>
              <c:f>'[1]4_수치검증'!$F$11:$F$19</c:f>
              <c:numCache>
                <c:formatCode>0.0000</c:formatCode>
                <c:ptCount val="9"/>
                <c:pt idx="0" formatCode="General">
                  <c:v>0</c:v>
                </c:pt>
                <c:pt idx="1">
                  <c:v>0.33306591221410398</c:v>
                </c:pt>
                <c:pt idx="2">
                  <c:v>0.16599899226400808</c:v>
                </c:pt>
                <c:pt idx="3">
                  <c:v>3.3114934636562149E-2</c:v>
                </c:pt>
                <c:pt idx="4">
                  <c:v>0</c:v>
                </c:pt>
                <c:pt idx="5">
                  <c:v>-3.3072691205617018E-2</c:v>
                </c:pt>
                <c:pt idx="6">
                  <c:v>-0.16494289162487877</c:v>
                </c:pt>
                <c:pt idx="7">
                  <c:v>-0.32884132381453424</c:v>
                </c:pt>
                <c:pt idx="8">
                  <c:v>-0.65355046804002315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64-478E-8084-DA6A84713710}"/>
            </c:ext>
          </c:extLst>
        </c:ser>
        <c:ser>
          <c:idx val="1"/>
          <c:order val="1"/>
          <c:tx>
            <c:v>MD 추정 변화(%)</c:v>
          </c:tx>
          <c:spPr>
            <a:ln w="2016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'[1]4_수치검증'!$B$12:$B$19</c:f>
              <c:numCache>
                <c:formatCode>0</c:formatCode>
                <c:ptCount val="8"/>
                <c:pt idx="0">
                  <c:v>-100</c:v>
                </c:pt>
                <c:pt idx="1">
                  <c:v>-50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</c:numCache>
            </c:numRef>
          </c:xVal>
          <c:yVal>
            <c:numRef>
              <c:f>'[1]4_수치검증'!$G$11:$G$19</c:f>
              <c:numCache>
                <c:formatCode>0.0000</c:formatCode>
                <c:ptCount val="9"/>
                <c:pt idx="0" formatCode="General">
                  <c:v>0</c:v>
                </c:pt>
                <c:pt idx="1">
                  <c:v>0.33093797276853254</c:v>
                </c:pt>
                <c:pt idx="2">
                  <c:v>0.16546898638426627</c:v>
                </c:pt>
                <c:pt idx="3">
                  <c:v>3.309379727685325E-2</c:v>
                </c:pt>
                <c:pt idx="4">
                  <c:v>0</c:v>
                </c:pt>
                <c:pt idx="5">
                  <c:v>-3.309379727685325E-2</c:v>
                </c:pt>
                <c:pt idx="6">
                  <c:v>-0.16546898638426627</c:v>
                </c:pt>
                <c:pt idx="7">
                  <c:v>-0.33093797276853254</c:v>
                </c:pt>
                <c:pt idx="8">
                  <c:v>-0.66187594553706508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64-478E-8084-DA6A84713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98904"/>
        <c:axId val="54318975"/>
      </c:scatterChart>
      <c:valAx>
        <c:axId val="795989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금리 변동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bp)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318975"/>
        <c:crosses val="autoZero"/>
        <c:crossBetween val="midCat"/>
      </c:valAx>
      <c:valAx>
        <c:axId val="54318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가격 변화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(%)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598904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금리 변동폭별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MD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추정 오차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원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'[1]4_수치검증'!$I$11</c:f>
              <c:strCache>
                <c:ptCount val="1"/>
                <c:pt idx="0">
                  <c:v>오차(원)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'[1]4_수치검증'!$B$12:$B$19</c:f>
              <c:numCache>
                <c:formatCode>0</c:formatCode>
                <c:ptCount val="8"/>
                <c:pt idx="0">
                  <c:v>-100</c:v>
                </c:pt>
                <c:pt idx="1">
                  <c:v>-50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</c:numCache>
            </c:numRef>
          </c:cat>
          <c:val>
            <c:numRef>
              <c:f>'[1]4_수치검증'!$I$12:$I$19</c:f>
              <c:numCache>
                <c:formatCode>0.0000</c:formatCode>
                <c:ptCount val="8"/>
                <c:pt idx="0">
                  <c:v>0.20866363101897178</c:v>
                </c:pt>
                <c:pt idx="1">
                  <c:v>5.1971850777281503E-2</c:v>
                </c:pt>
                <c:pt idx="2">
                  <c:v>2.072708523822353E-3</c:v>
                </c:pt>
                <c:pt idx="3">
                  <c:v>0</c:v>
                </c:pt>
                <c:pt idx="4">
                  <c:v>2.0696404072322316E-3</c:v>
                </c:pt>
                <c:pt idx="5">
                  <c:v>5.1588330195354359E-2</c:v>
                </c:pt>
                <c:pt idx="6">
                  <c:v>0.20559531645692886</c:v>
                </c:pt>
                <c:pt idx="7">
                  <c:v>0.81638806410352061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F-47D5-B0FE-2203DF005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56225"/>
        <c:axId val="95192249"/>
      </c:barChart>
      <c:catAx>
        <c:axId val="73562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금리 변동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bp)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192249"/>
        <c:crosses val="autoZero"/>
        <c:auto val="1"/>
        <c:lblAlgn val="ctr"/>
        <c:lblOffset val="100"/>
        <c:noMultiLvlLbl val="0"/>
      </c:catAx>
      <c:valAx>
        <c:axId val="951922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오차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원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62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447676</xdr:colOff>
      <xdr:row>35</xdr:row>
      <xdr:rowOff>63840</xdr:rowOff>
    </xdr:from>
    <xdr:to>
      <xdr:col>10</xdr:col>
      <xdr:colOff>438151</xdr:colOff>
      <xdr:row>54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66675</xdr:colOff>
      <xdr:row>57</xdr:row>
      <xdr:rowOff>179655</xdr:rowOff>
    </xdr:from>
    <xdr:to>
      <xdr:col>6</xdr:col>
      <xdr:colOff>766485</xdr:colOff>
      <xdr:row>85</xdr:row>
      <xdr:rowOff>49170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25</xdr:row>
      <xdr:rowOff>10260</xdr:rowOff>
    </xdr:from>
    <xdr:to>
      <xdr:col>10</xdr:col>
      <xdr:colOff>152400</xdr:colOff>
      <xdr:row>45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33</xdr:row>
      <xdr:rowOff>104835</xdr:rowOff>
    </xdr:from>
    <xdr:to>
      <xdr:col>9</xdr:col>
      <xdr:colOff>457200</xdr:colOff>
      <xdr:row>54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23</xdr:row>
      <xdr:rowOff>32265</xdr:rowOff>
    </xdr:from>
    <xdr:to>
      <xdr:col>6</xdr:col>
      <xdr:colOff>371475</xdr:colOff>
      <xdr:row>38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742950</xdr:colOff>
      <xdr:row>41</xdr:row>
      <xdr:rowOff>66674</xdr:rowOff>
    </xdr:from>
    <xdr:to>
      <xdr:col>6</xdr:col>
      <xdr:colOff>1133475</xdr:colOff>
      <xdr:row>65</xdr:row>
      <xdr:rowOff>153179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&#48120;&#48516;&#50896;&#47532;_&#52292;&#44428;&#46272;&#47112;&#51060;&#49496;_&#44368;&#50977;&#51088;&#47308;_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사용안내"/>
      <sheetName val="0_학습가이드"/>
      <sheetName val="1_미분기초"/>
      <sheetName val="2_거듭제곱법칙"/>
      <sheetName val="3_채권가격미분"/>
      <sheetName val="4_수치검증"/>
      <sheetName val="5_전체요약"/>
    </sheetNames>
    <sheetDataSet>
      <sheetData sheetId="0"/>
      <sheetData sheetId="1"/>
      <sheetData sheetId="2">
        <row r="20">
          <cell r="G20" t="str">
            <v>[f(x+h)-f(x)]/h</v>
          </cell>
        </row>
        <row r="21">
          <cell r="B21">
            <v>1</v>
          </cell>
          <cell r="G21">
            <v>7</v>
          </cell>
        </row>
        <row r="22">
          <cell r="B22">
            <v>0.1</v>
          </cell>
          <cell r="G22">
            <v>6.1000000000000121</v>
          </cell>
        </row>
        <row r="23">
          <cell r="B23">
            <v>0.01</v>
          </cell>
          <cell r="G23">
            <v>6.0099999999998488</v>
          </cell>
        </row>
        <row r="24">
          <cell r="B24">
            <v>1E-3</v>
          </cell>
          <cell r="G24">
            <v>6.000999999999479</v>
          </cell>
        </row>
        <row r="25">
          <cell r="B25">
            <v>1E-4</v>
          </cell>
          <cell r="G25">
            <v>6.0001000000120541</v>
          </cell>
        </row>
        <row r="26">
          <cell r="B26">
            <v>1.0000000000000001E-5</v>
          </cell>
          <cell r="G26">
            <v>6.0000099999513159</v>
          </cell>
        </row>
        <row r="36">
          <cell r="C36" t="str">
            <v>f(x)=x²</v>
          </cell>
          <cell r="D36" t="str">
            <v>접선 y=6(x-3)+9</v>
          </cell>
        </row>
        <row r="37">
          <cell r="B37">
            <v>0</v>
          </cell>
          <cell r="C37">
            <v>0</v>
          </cell>
          <cell r="D37">
            <v>-9</v>
          </cell>
        </row>
        <row r="38">
          <cell r="B38">
            <v>0.5</v>
          </cell>
          <cell r="C38">
            <v>0.25</v>
          </cell>
          <cell r="D38">
            <v>-6</v>
          </cell>
        </row>
        <row r="39">
          <cell r="B39">
            <v>1</v>
          </cell>
          <cell r="C39">
            <v>1</v>
          </cell>
          <cell r="D39">
            <v>-3</v>
          </cell>
        </row>
        <row r="40">
          <cell r="B40">
            <v>1.5</v>
          </cell>
          <cell r="C40">
            <v>2.25</v>
          </cell>
          <cell r="D40">
            <v>0</v>
          </cell>
        </row>
        <row r="41">
          <cell r="B41">
            <v>2</v>
          </cell>
          <cell r="C41">
            <v>4</v>
          </cell>
          <cell r="D41">
            <v>3</v>
          </cell>
        </row>
        <row r="42">
          <cell r="B42">
            <v>2.5</v>
          </cell>
          <cell r="C42">
            <v>6.25</v>
          </cell>
          <cell r="D42">
            <v>6</v>
          </cell>
        </row>
        <row r="43">
          <cell r="B43">
            <v>3</v>
          </cell>
          <cell r="C43">
            <v>9</v>
          </cell>
          <cell r="D43">
            <v>9</v>
          </cell>
        </row>
        <row r="44">
          <cell r="B44">
            <v>3.5</v>
          </cell>
          <cell r="C44">
            <v>12.25</v>
          </cell>
          <cell r="D44">
            <v>12</v>
          </cell>
        </row>
        <row r="45">
          <cell r="B45">
            <v>4</v>
          </cell>
          <cell r="C45">
            <v>16</v>
          </cell>
          <cell r="D45">
            <v>15</v>
          </cell>
        </row>
        <row r="46">
          <cell r="B46">
            <v>4.5</v>
          </cell>
          <cell r="C46">
            <v>20.25</v>
          </cell>
          <cell r="D46">
            <v>18</v>
          </cell>
        </row>
        <row r="47">
          <cell r="B47">
            <v>5</v>
          </cell>
          <cell r="C47">
            <v>25</v>
          </cell>
          <cell r="D47">
            <v>21</v>
          </cell>
        </row>
        <row r="48">
          <cell r="B48">
            <v>5.5</v>
          </cell>
          <cell r="C48">
            <v>30.25</v>
          </cell>
          <cell r="D48">
            <v>24</v>
          </cell>
        </row>
        <row r="49">
          <cell r="B49">
            <v>6</v>
          </cell>
          <cell r="C49">
            <v>36</v>
          </cell>
          <cell r="D49">
            <v>27</v>
          </cell>
        </row>
      </sheetData>
      <sheetData sheetId="3">
        <row r="25">
          <cell r="D25" t="str">
            <v>오차(%)</v>
          </cell>
        </row>
        <row r="26">
          <cell r="B26">
            <v>1</v>
          </cell>
          <cell r="D26">
            <v>37.037037037037038</v>
          </cell>
        </row>
        <row r="27">
          <cell r="B27">
            <v>0.5</v>
          </cell>
          <cell r="D27">
            <v>17.592592592592592</v>
          </cell>
        </row>
        <row r="28">
          <cell r="B28">
            <v>0.1</v>
          </cell>
          <cell r="D28">
            <v>3.3703703703705159</v>
          </cell>
        </row>
        <row r="29">
          <cell r="B29">
            <v>0.05</v>
          </cell>
          <cell r="D29">
            <v>1.6759259259253492</v>
          </cell>
        </row>
        <row r="30">
          <cell r="B30">
            <v>0.01</v>
          </cell>
          <cell r="D30">
            <v>0.33370370370183389</v>
          </cell>
        </row>
        <row r="31">
          <cell r="B31">
            <v>5.0000000000000001E-3</v>
          </cell>
          <cell r="D31">
            <v>0.16675925925782126</v>
          </cell>
        </row>
        <row r="32">
          <cell r="B32">
            <v>1E-3</v>
          </cell>
          <cell r="D32">
            <v>3.3337037022765463E-2</v>
          </cell>
        </row>
        <row r="33">
          <cell r="B33">
            <v>5.0000000000000001E-4</v>
          </cell>
          <cell r="D33">
            <v>1.6667592623460022E-2</v>
          </cell>
        </row>
        <row r="34">
          <cell r="B34">
            <v>1E-4</v>
          </cell>
          <cell r="D34">
            <v>3.3333706137791863E-3</v>
          </cell>
        </row>
      </sheetData>
      <sheetData sheetId="4">
        <row r="34">
          <cell r="C34" t="str">
            <v>실제가격 P</v>
          </cell>
          <cell r="D34" t="str">
            <v>MD접선근사</v>
          </cell>
        </row>
        <row r="35">
          <cell r="B35">
            <v>0.01</v>
          </cell>
          <cell r="C35">
            <v>9965.2344147403346</v>
          </cell>
          <cell r="D35">
            <v>9960.3696940898135</v>
          </cell>
        </row>
        <row r="36">
          <cell r="B36">
            <v>0.02</v>
          </cell>
          <cell r="C36">
            <v>9930.9304387444099</v>
          </cell>
          <cell r="D36">
            <v>9927.9182447858147</v>
          </cell>
        </row>
        <row r="37">
          <cell r="B37">
            <v>0.03</v>
          </cell>
          <cell r="C37">
            <v>9897.0775066296192</v>
          </cell>
          <cell r="D37">
            <v>9895.466795481816</v>
          </cell>
        </row>
        <row r="38">
          <cell r="B38">
            <v>0.04</v>
          </cell>
          <cell r="C38">
            <v>9863.6653944150403</v>
          </cell>
          <cell r="D38">
            <v>9863.0153461778154</v>
          </cell>
        </row>
        <row r="39">
          <cell r="B39">
            <v>0.05</v>
          </cell>
          <cell r="C39">
            <v>9830.6842053333694</v>
          </cell>
          <cell r="D39">
            <v>9830.5638968738167</v>
          </cell>
        </row>
        <row r="40">
          <cell r="B40">
            <v>0.06</v>
          </cell>
          <cell r="C40">
            <v>9798.1243563611461</v>
          </cell>
          <cell r="D40">
            <v>9798.1124475698161</v>
          </cell>
        </row>
        <row r="41">
          <cell r="B41">
            <v>7.0000000000000007E-2</v>
          </cell>
          <cell r="C41">
            <v>9765.9765654245712</v>
          </cell>
          <cell r="D41">
            <v>9765.6609982658174</v>
          </cell>
        </row>
        <row r="42">
          <cell r="B42">
            <v>0.08</v>
          </cell>
          <cell r="C42">
            <v>9734.2318392410016</v>
          </cell>
          <cell r="D42">
            <v>9733.2095489618187</v>
          </cell>
        </row>
        <row r="43">
          <cell r="B43">
            <v>0.09</v>
          </cell>
          <cell r="C43">
            <v>9702.8814617590706</v>
          </cell>
          <cell r="D43">
            <v>9700.7580996578181</v>
          </cell>
        </row>
        <row r="44">
          <cell r="B44">
            <v>0.1</v>
          </cell>
          <cell r="C44">
            <v>9671.9169831626677</v>
          </cell>
          <cell r="D44">
            <v>9668.3066503538194</v>
          </cell>
        </row>
      </sheetData>
      <sheetData sheetId="5">
        <row r="11">
          <cell r="F11" t="str">
            <v>실제변화(%)</v>
          </cell>
          <cell r="G11" t="str">
            <v>MD추정변화(%)</v>
          </cell>
          <cell r="I11" t="str">
            <v>오차(원)</v>
          </cell>
        </row>
        <row r="12">
          <cell r="B12">
            <v>-100</v>
          </cell>
          <cell r="F12">
            <v>0.33306591221410398</v>
          </cell>
          <cell r="G12">
            <v>0.33093797276853254</v>
          </cell>
          <cell r="I12">
            <v>0.20866363101897178</v>
          </cell>
        </row>
        <row r="13">
          <cell r="B13">
            <v>-50</v>
          </cell>
          <cell r="F13">
            <v>0.16599899226400808</v>
          </cell>
          <cell r="G13">
            <v>0.16546898638426627</v>
          </cell>
          <cell r="I13">
            <v>5.1971850777281503E-2</v>
          </cell>
        </row>
        <row r="14">
          <cell r="B14">
            <v>-10</v>
          </cell>
          <cell r="F14">
            <v>3.3114934636562149E-2</v>
          </cell>
          <cell r="G14">
            <v>3.309379727685325E-2</v>
          </cell>
          <cell r="I14">
            <v>2.072708523822353E-3</v>
          </cell>
        </row>
        <row r="15">
          <cell r="B15">
            <v>0</v>
          </cell>
          <cell r="F15">
            <v>0</v>
          </cell>
          <cell r="G15">
            <v>0</v>
          </cell>
          <cell r="I15">
            <v>0</v>
          </cell>
        </row>
        <row r="16">
          <cell r="B16">
            <v>10</v>
          </cell>
          <cell r="F16">
            <v>-3.3072691205617018E-2</v>
          </cell>
          <cell r="G16">
            <v>-3.309379727685325E-2</v>
          </cell>
          <cell r="I16">
            <v>2.0696404072322316E-3</v>
          </cell>
        </row>
        <row r="17">
          <cell r="B17">
            <v>50</v>
          </cell>
          <cell r="F17">
            <v>-0.16494289162487877</v>
          </cell>
          <cell r="G17">
            <v>-0.16546898638426627</v>
          </cell>
          <cell r="I17">
            <v>5.1588330195354359E-2</v>
          </cell>
        </row>
        <row r="18">
          <cell r="B18">
            <v>100</v>
          </cell>
          <cell r="F18">
            <v>-0.32884132381453424</v>
          </cell>
          <cell r="G18">
            <v>-0.33093797276853254</v>
          </cell>
          <cell r="I18">
            <v>0.20559531645692886</v>
          </cell>
        </row>
        <row r="19">
          <cell r="B19">
            <v>200</v>
          </cell>
          <cell r="F19">
            <v>-0.65355046804002315</v>
          </cell>
          <cell r="G19">
            <v>-0.66187594553706508</v>
          </cell>
          <cell r="I19">
            <v>0.81638806410352061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showGridLines="0" workbookViewId="0">
      <selection activeCell="D17" sqref="D17"/>
    </sheetView>
  </sheetViews>
  <sheetFormatPr defaultColWidth="8.7109375" defaultRowHeight="16.5" x14ac:dyDescent="0.3"/>
  <cols>
    <col min="1" max="1" width="2" style="2" customWidth="1"/>
    <col min="2" max="2" width="20" style="2" customWidth="1"/>
    <col min="3" max="3" width="24" style="2" customWidth="1"/>
    <col min="4" max="4" width="30" style="2" customWidth="1"/>
    <col min="5" max="5" width="24" style="2" customWidth="1"/>
    <col min="6" max="16384" width="8.7109375" style="2"/>
  </cols>
  <sheetData>
    <row r="1" spans="2:7" ht="26.25" x14ac:dyDescent="0.3">
      <c r="B1" s="1" t="s">
        <v>67</v>
      </c>
      <c r="C1" s="1"/>
      <c r="D1" s="1"/>
      <c r="E1" s="1"/>
      <c r="F1" s="1"/>
      <c r="G1" s="1"/>
    </row>
    <row r="2" spans="2:7" x14ac:dyDescent="0.3">
      <c r="B2" s="3" t="s">
        <v>68</v>
      </c>
      <c r="C2" s="3"/>
      <c r="D2" s="3"/>
      <c r="E2" s="3"/>
      <c r="F2" s="3"/>
      <c r="G2" s="3"/>
    </row>
    <row r="3" spans="2:7" ht="20.25" thickBot="1" x14ac:dyDescent="0.35">
      <c r="B3" s="4" t="s">
        <v>69</v>
      </c>
      <c r="C3" s="4"/>
      <c r="D3" s="4"/>
      <c r="E3" s="4"/>
    </row>
    <row r="4" spans="2:7" x14ac:dyDescent="0.3">
      <c r="B4" s="5" t="s">
        <v>70</v>
      </c>
      <c r="C4" s="5" t="s">
        <v>71</v>
      </c>
      <c r="D4" s="5" t="s">
        <v>72</v>
      </c>
      <c r="E4" s="5" t="s">
        <v>73</v>
      </c>
    </row>
    <row r="5" spans="2:7" ht="36" x14ac:dyDescent="0.3">
      <c r="B5" s="6" t="s">
        <v>74</v>
      </c>
      <c r="C5" s="13" t="s">
        <v>116</v>
      </c>
      <c r="D5" s="13" t="s">
        <v>75</v>
      </c>
      <c r="E5" s="33" t="s">
        <v>76</v>
      </c>
    </row>
    <row r="6" spans="2:7" ht="27" x14ac:dyDescent="0.3">
      <c r="B6" s="7" t="s">
        <v>77</v>
      </c>
      <c r="C6" s="16" t="s">
        <v>117</v>
      </c>
      <c r="D6" s="16" t="s">
        <v>78</v>
      </c>
      <c r="E6" s="34" t="s">
        <v>118</v>
      </c>
    </row>
    <row r="7" spans="2:7" ht="27" x14ac:dyDescent="0.3">
      <c r="B7" s="6" t="s">
        <v>79</v>
      </c>
      <c r="C7" s="13" t="s">
        <v>119</v>
      </c>
      <c r="D7" s="13" t="s">
        <v>80</v>
      </c>
      <c r="E7" s="33" t="s">
        <v>81</v>
      </c>
    </row>
    <row r="8" spans="2:7" ht="24" x14ac:dyDescent="0.3">
      <c r="B8" s="7" t="s">
        <v>82</v>
      </c>
      <c r="C8" s="16" t="s">
        <v>120</v>
      </c>
      <c r="D8" s="16" t="s">
        <v>83</v>
      </c>
      <c r="E8" s="34" t="s">
        <v>84</v>
      </c>
    </row>
    <row r="9" spans="2:7" ht="24" x14ac:dyDescent="0.3">
      <c r="B9" s="6" t="s">
        <v>121</v>
      </c>
      <c r="C9" s="13" t="s">
        <v>122</v>
      </c>
      <c r="D9" s="13" t="s">
        <v>85</v>
      </c>
      <c r="E9" s="33" t="s">
        <v>86</v>
      </c>
    </row>
    <row r="10" spans="2:7" ht="24" x14ac:dyDescent="0.3">
      <c r="B10" s="7" t="s">
        <v>123</v>
      </c>
      <c r="C10" s="16" t="s">
        <v>124</v>
      </c>
      <c r="D10" s="16" t="s">
        <v>87</v>
      </c>
      <c r="E10" s="34" t="s">
        <v>88</v>
      </c>
    </row>
    <row r="12" spans="2:7" ht="20.25" thickBot="1" x14ac:dyDescent="0.35">
      <c r="B12" s="4" t="s">
        <v>125</v>
      </c>
      <c r="C12" s="4"/>
      <c r="D12" s="4"/>
      <c r="E12" s="4"/>
    </row>
    <row r="13" spans="2:7" x14ac:dyDescent="0.3">
      <c r="B13" s="5" t="s">
        <v>89</v>
      </c>
      <c r="C13" s="5" t="s">
        <v>90</v>
      </c>
      <c r="D13" s="5" t="s">
        <v>91</v>
      </c>
    </row>
    <row r="14" spans="2:7" ht="24.75" thickBot="1" x14ac:dyDescent="0.35">
      <c r="B14" s="13" t="s">
        <v>92</v>
      </c>
      <c r="C14" s="35">
        <v>0.05</v>
      </c>
      <c r="D14" s="33" t="s">
        <v>126</v>
      </c>
    </row>
    <row r="15" spans="2:7" ht="24" x14ac:dyDescent="0.3">
      <c r="B15" s="16" t="s">
        <v>93</v>
      </c>
      <c r="C15" s="36">
        <f>1+C14</f>
        <v>1.05</v>
      </c>
      <c r="D15" s="34" t="s">
        <v>127</v>
      </c>
    </row>
    <row r="16" spans="2:7" x14ac:dyDescent="0.3">
      <c r="B16" s="13" t="s">
        <v>94</v>
      </c>
      <c r="C16" s="13" t="s">
        <v>95</v>
      </c>
      <c r="D16" s="33" t="s">
        <v>96</v>
      </c>
    </row>
    <row r="17" spans="2:5" ht="24" x14ac:dyDescent="0.3">
      <c r="B17" s="16" t="s">
        <v>97</v>
      </c>
      <c r="C17" s="37">
        <v>6</v>
      </c>
      <c r="D17" s="34" t="s">
        <v>128</v>
      </c>
    </row>
    <row r="19" spans="2:5" ht="20.25" thickBot="1" x14ac:dyDescent="0.35">
      <c r="B19" s="4" t="s">
        <v>129</v>
      </c>
      <c r="C19" s="4"/>
      <c r="D19" s="4"/>
      <c r="E19" s="4"/>
    </row>
    <row r="20" spans="2:5" x14ac:dyDescent="0.3">
      <c r="B20" s="5" t="s">
        <v>98</v>
      </c>
      <c r="C20" s="5" t="s">
        <v>99</v>
      </c>
    </row>
    <row r="21" spans="2:5" ht="27" x14ac:dyDescent="0.3">
      <c r="B21" s="38" t="s">
        <v>130</v>
      </c>
      <c r="C21" s="13" t="s">
        <v>131</v>
      </c>
    </row>
    <row r="22" spans="2:5" ht="27" x14ac:dyDescent="0.3">
      <c r="B22" s="39" t="s">
        <v>132</v>
      </c>
      <c r="C22" s="16" t="s">
        <v>100</v>
      </c>
    </row>
    <row r="23" spans="2:5" ht="27" x14ac:dyDescent="0.3">
      <c r="B23" s="40" t="s">
        <v>133</v>
      </c>
      <c r="C23" s="13" t="s">
        <v>134</v>
      </c>
    </row>
    <row r="24" spans="2:5" ht="27" x14ac:dyDescent="0.3">
      <c r="B24" s="41" t="s">
        <v>135</v>
      </c>
      <c r="C24" s="16" t="s">
        <v>136</v>
      </c>
    </row>
    <row r="25" spans="2:5" x14ac:dyDescent="0.3">
      <c r="B25" s="42" t="s">
        <v>137</v>
      </c>
      <c r="C25" s="13" t="s">
        <v>101</v>
      </c>
    </row>
    <row r="26" spans="2:5" x14ac:dyDescent="0.3">
      <c r="B26" s="43" t="s">
        <v>138</v>
      </c>
      <c r="C26" s="16" t="s">
        <v>102</v>
      </c>
    </row>
    <row r="27" spans="2:5" x14ac:dyDescent="0.3">
      <c r="B27" s="44" t="s">
        <v>139</v>
      </c>
      <c r="C27" s="13" t="s">
        <v>103</v>
      </c>
    </row>
    <row r="28" spans="2:5" x14ac:dyDescent="0.3">
      <c r="B28" s="45" t="s">
        <v>140</v>
      </c>
      <c r="C28" s="16" t="s">
        <v>141</v>
      </c>
    </row>
    <row r="29" spans="2:5" x14ac:dyDescent="0.3">
      <c r="B29" s="46" t="s">
        <v>142</v>
      </c>
      <c r="C29" s="13" t="s">
        <v>143</v>
      </c>
    </row>
    <row r="30" spans="2:5" x14ac:dyDescent="0.3">
      <c r="B30" s="47" t="s">
        <v>144</v>
      </c>
      <c r="C30" s="16" t="s">
        <v>145</v>
      </c>
    </row>
    <row r="32" spans="2:5" ht="20.25" thickBot="1" x14ac:dyDescent="0.35">
      <c r="B32" s="4" t="s">
        <v>104</v>
      </c>
      <c r="C32" s="4"/>
      <c r="D32" s="4"/>
      <c r="E32" s="4"/>
    </row>
    <row r="33" spans="2:5" x14ac:dyDescent="0.3">
      <c r="B33" s="5" t="s">
        <v>105</v>
      </c>
      <c r="C33" s="5" t="s">
        <v>106</v>
      </c>
      <c r="D33" s="5" t="s">
        <v>107</v>
      </c>
    </row>
    <row r="34" spans="2:5" ht="27" x14ac:dyDescent="0.3">
      <c r="B34" s="8" t="s">
        <v>146</v>
      </c>
      <c r="C34" s="13" t="s">
        <v>108</v>
      </c>
      <c r="D34" s="6" t="s">
        <v>109</v>
      </c>
    </row>
    <row r="35" spans="2:5" x14ac:dyDescent="0.3">
      <c r="B35" s="9" t="s">
        <v>147</v>
      </c>
      <c r="C35" s="16" t="s">
        <v>110</v>
      </c>
      <c r="D35" s="7" t="s">
        <v>148</v>
      </c>
    </row>
    <row r="36" spans="2:5" ht="27" x14ac:dyDescent="0.3">
      <c r="B36" s="8" t="s">
        <v>149</v>
      </c>
      <c r="C36" s="13" t="s">
        <v>111</v>
      </c>
      <c r="D36" s="6" t="s">
        <v>150</v>
      </c>
    </row>
    <row r="37" spans="2:5" ht="27" x14ac:dyDescent="0.3">
      <c r="B37" s="9" t="s">
        <v>151</v>
      </c>
      <c r="C37" s="16" t="s">
        <v>112</v>
      </c>
      <c r="D37" s="7" t="s">
        <v>113</v>
      </c>
    </row>
    <row r="38" spans="2:5" ht="27" x14ac:dyDescent="0.3">
      <c r="B38" s="8" t="s">
        <v>152</v>
      </c>
      <c r="C38" s="13" t="s">
        <v>114</v>
      </c>
      <c r="D38" s="6" t="s">
        <v>153</v>
      </c>
    </row>
    <row r="39" spans="2:5" ht="27" x14ac:dyDescent="0.3">
      <c r="B39" s="9" t="s">
        <v>154</v>
      </c>
      <c r="C39" s="16" t="s">
        <v>155</v>
      </c>
      <c r="D39" s="7" t="s">
        <v>115</v>
      </c>
    </row>
    <row r="41" spans="2:5" ht="15" customHeight="1" x14ac:dyDescent="0.3">
      <c r="B41" s="48" t="s">
        <v>156</v>
      </c>
      <c r="C41" s="48"/>
      <c r="D41" s="48"/>
      <c r="E41" s="48"/>
    </row>
  </sheetData>
  <mergeCells count="7">
    <mergeCell ref="B41:E41"/>
    <mergeCell ref="B3:E3"/>
    <mergeCell ref="B12:E12"/>
    <mergeCell ref="B19:E19"/>
    <mergeCell ref="B32:E32"/>
    <mergeCell ref="B1:G1"/>
    <mergeCell ref="B2:G2"/>
  </mergeCells>
  <dataValidations count="4">
    <dataValidation allowBlank="1" showInputMessage="1" promptTitle="팝업 설명 예시" prompt="이렇게 셀을 선택하면 설명이 나타남. 빨간 삼각형 없이 깔끔하게 표시됨." sqref="C16">
      <formula1>0</formula1>
      <formula2>0</formula2>
    </dataValidation>
    <dataValidation allowBlank="1" showInputMessage="1" promptTitle="수식 예시" prompt="이것이 수식 셀임. 검정글씨 + 연회색배경. 수식바에서 =1+C14 확인 가능함." sqref="C15">
      <formula1>0</formula1>
      <formula2>0</formula2>
    </dataValidation>
    <dataValidation allowBlank="1" showInputMessage="1" promptTitle="입력값 예시" prompt="이것이 입력값 셀임. 파란 Bold + 연파랑 배경 + 하단 굵은선. 값을 바꿀 수 있음." sqref="C14">
      <formula1>0</formula1>
      <formula2>0</formula2>
    </dataValidation>
    <dataValidation allowBlank="1" showInputMessage="1" promptTitle="핵심 규칙" prompt="이 자료의 모든 시트에 동일하게 적용되는 시각 체계임. 셀 색상만 보면 역할을 파악할 수 있음." sqref="B3">
      <formula1>0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G32"/>
  <sheetViews>
    <sheetView showGridLines="0" workbookViewId="0">
      <selection activeCell="D12" sqref="D12"/>
    </sheetView>
  </sheetViews>
  <sheetFormatPr defaultRowHeight="16.5" x14ac:dyDescent="0.25"/>
  <cols>
    <col min="1" max="1" width="4.5703125" style="19" customWidth="1"/>
    <col min="2" max="2" width="21.140625" style="19" customWidth="1"/>
    <col min="3" max="3" width="40.28515625" style="19" customWidth="1"/>
    <col min="4" max="4" width="34.5703125" style="19" customWidth="1"/>
    <col min="5" max="7" width="9.28515625" style="19" customWidth="1"/>
    <col min="8" max="16384" width="9.140625" style="19"/>
  </cols>
  <sheetData>
    <row r="1" spans="2:7" ht="26.25" x14ac:dyDescent="0.25">
      <c r="B1" s="18" t="s">
        <v>0</v>
      </c>
      <c r="C1" s="18"/>
      <c r="D1" s="18"/>
      <c r="E1" s="18"/>
      <c r="F1" s="18"/>
      <c r="G1" s="18"/>
    </row>
    <row r="2" spans="2:7" x14ac:dyDescent="0.25">
      <c r="B2" s="20" t="s">
        <v>62</v>
      </c>
      <c r="C2" s="20"/>
      <c r="D2" s="20"/>
      <c r="E2" s="20"/>
      <c r="F2" s="20"/>
      <c r="G2" s="20"/>
    </row>
    <row r="3" spans="2:7" ht="19.5" x14ac:dyDescent="0.25">
      <c r="B3" s="32" t="s">
        <v>61</v>
      </c>
      <c r="C3" s="32"/>
      <c r="D3" s="32"/>
      <c r="E3" s="32"/>
      <c r="F3" s="32"/>
      <c r="G3" s="32"/>
    </row>
    <row r="4" spans="2:7" ht="48" customHeight="1" x14ac:dyDescent="0.25">
      <c r="B4" s="11" t="s">
        <v>1</v>
      </c>
      <c r="C4" s="22" t="s">
        <v>63</v>
      </c>
      <c r="D4" s="22"/>
    </row>
    <row r="5" spans="2:7" ht="48" customHeight="1" x14ac:dyDescent="0.25">
      <c r="B5" s="11" t="s">
        <v>2</v>
      </c>
      <c r="C5" s="22" t="s">
        <v>64</v>
      </c>
      <c r="D5" s="22"/>
    </row>
    <row r="6" spans="2:7" ht="48" customHeight="1" x14ac:dyDescent="0.25">
      <c r="B6" s="11" t="s">
        <v>3</v>
      </c>
      <c r="C6" s="22" t="s">
        <v>65</v>
      </c>
      <c r="D6" s="22"/>
    </row>
    <row r="7" spans="2:7" ht="48" customHeight="1" x14ac:dyDescent="0.25">
      <c r="B7" s="11" t="s">
        <v>4</v>
      </c>
      <c r="C7" s="22" t="s">
        <v>66</v>
      </c>
      <c r="D7" s="22"/>
    </row>
    <row r="9" spans="2:7" ht="20.25" thickBot="1" x14ac:dyDescent="0.3">
      <c r="B9" s="21" t="s">
        <v>28</v>
      </c>
      <c r="C9" s="21"/>
      <c r="D9" s="21"/>
    </row>
    <row r="10" spans="2:7" x14ac:dyDescent="0.25">
      <c r="B10" s="5" t="s">
        <v>5</v>
      </c>
      <c r="C10" s="5" t="s">
        <v>6</v>
      </c>
      <c r="D10" s="5" t="s">
        <v>7</v>
      </c>
      <c r="E10" s="19" t="s">
        <v>8</v>
      </c>
    </row>
    <row r="11" spans="2:7" ht="81" x14ac:dyDescent="0.25">
      <c r="B11" s="12" t="s">
        <v>29</v>
      </c>
      <c r="C11" s="23" t="s">
        <v>30</v>
      </c>
      <c r="D11" s="24" t="s">
        <v>31</v>
      </c>
    </row>
    <row r="12" spans="2:7" ht="81" x14ac:dyDescent="0.25">
      <c r="B12" s="15" t="s">
        <v>32</v>
      </c>
      <c r="C12" s="25" t="s">
        <v>33</v>
      </c>
      <c r="D12" s="26" t="s">
        <v>34</v>
      </c>
    </row>
    <row r="13" spans="2:7" ht="81" x14ac:dyDescent="0.25">
      <c r="B13" s="12" t="s">
        <v>35</v>
      </c>
      <c r="C13" s="23" t="s">
        <v>36</v>
      </c>
      <c r="D13" s="24" t="s">
        <v>37</v>
      </c>
    </row>
    <row r="14" spans="2:7" ht="81" x14ac:dyDescent="0.25">
      <c r="B14" s="15" t="s">
        <v>38</v>
      </c>
      <c r="C14" s="25" t="s">
        <v>39</v>
      </c>
      <c r="D14" s="26" t="s">
        <v>40</v>
      </c>
    </row>
    <row r="15" spans="2:7" ht="81" x14ac:dyDescent="0.25">
      <c r="B15" s="12" t="s">
        <v>41</v>
      </c>
      <c r="C15" s="23" t="s">
        <v>42</v>
      </c>
      <c r="D15" s="24" t="s">
        <v>43</v>
      </c>
    </row>
    <row r="17" spans="2:4" ht="20.25" thickBot="1" x14ac:dyDescent="0.3">
      <c r="B17" s="21" t="s">
        <v>9</v>
      </c>
      <c r="C17" s="21"/>
      <c r="D17" s="21"/>
    </row>
    <row r="18" spans="2:4" x14ac:dyDescent="0.25">
      <c r="B18" s="5" t="s">
        <v>10</v>
      </c>
      <c r="C18" s="5" t="s">
        <v>11</v>
      </c>
      <c r="D18" s="5" t="s">
        <v>12</v>
      </c>
    </row>
    <row r="19" spans="2:4" ht="27" x14ac:dyDescent="0.25">
      <c r="B19" s="12" t="s">
        <v>13</v>
      </c>
      <c r="C19" s="23" t="s">
        <v>44</v>
      </c>
      <c r="D19" s="27" t="s">
        <v>45</v>
      </c>
    </row>
    <row r="20" spans="2:4" ht="27" x14ac:dyDescent="0.25">
      <c r="B20" s="15" t="s">
        <v>14</v>
      </c>
      <c r="C20" s="25" t="s">
        <v>46</v>
      </c>
      <c r="D20" s="28" t="s">
        <v>47</v>
      </c>
    </row>
    <row r="21" spans="2:4" ht="27" x14ac:dyDescent="0.25">
      <c r="B21" s="12" t="s">
        <v>15</v>
      </c>
      <c r="C21" s="23" t="s">
        <v>48</v>
      </c>
      <c r="D21" s="27" t="s">
        <v>49</v>
      </c>
    </row>
    <row r="22" spans="2:4" ht="27" x14ac:dyDescent="0.25">
      <c r="B22" s="15" t="s">
        <v>50</v>
      </c>
      <c r="C22" s="25" t="s">
        <v>51</v>
      </c>
      <c r="D22" s="28" t="s">
        <v>52</v>
      </c>
    </row>
    <row r="23" spans="2:4" ht="27" x14ac:dyDescent="0.25">
      <c r="B23" s="12" t="s">
        <v>16</v>
      </c>
      <c r="C23" s="23" t="s">
        <v>53</v>
      </c>
      <c r="D23" s="27" t="s">
        <v>54</v>
      </c>
    </row>
    <row r="25" spans="2:4" ht="20.25" thickBot="1" x14ac:dyDescent="0.3">
      <c r="B25" s="21" t="s">
        <v>55</v>
      </c>
      <c r="C25" s="21"/>
      <c r="D25" s="21"/>
    </row>
    <row r="26" spans="2:4" x14ac:dyDescent="0.25">
      <c r="B26" s="5" t="s">
        <v>17</v>
      </c>
      <c r="C26" s="5" t="s">
        <v>18</v>
      </c>
      <c r="D26" s="5" t="s">
        <v>19</v>
      </c>
    </row>
    <row r="27" spans="2:4" ht="27" x14ac:dyDescent="0.25">
      <c r="B27" s="29" t="s">
        <v>20</v>
      </c>
      <c r="C27" s="23" t="s">
        <v>21</v>
      </c>
      <c r="D27" s="27" t="s">
        <v>56</v>
      </c>
    </row>
    <row r="28" spans="2:4" x14ac:dyDescent="0.25">
      <c r="B28" s="30" t="s">
        <v>22</v>
      </c>
      <c r="C28" s="25" t="s">
        <v>23</v>
      </c>
      <c r="D28" s="28" t="s">
        <v>57</v>
      </c>
    </row>
    <row r="29" spans="2:4" ht="27" x14ac:dyDescent="0.25">
      <c r="B29" s="29" t="s">
        <v>24</v>
      </c>
      <c r="C29" s="23" t="s">
        <v>25</v>
      </c>
      <c r="D29" s="27" t="s">
        <v>58</v>
      </c>
    </row>
    <row r="30" spans="2:4" ht="27" x14ac:dyDescent="0.25">
      <c r="B30" s="30" t="s">
        <v>26</v>
      </c>
      <c r="C30" s="25" t="s">
        <v>27</v>
      </c>
      <c r="D30" s="28" t="s">
        <v>59</v>
      </c>
    </row>
    <row r="32" spans="2:4" x14ac:dyDescent="0.25">
      <c r="B32" s="31" t="s">
        <v>60</v>
      </c>
      <c r="C32" s="31"/>
      <c r="D32" s="31"/>
    </row>
  </sheetData>
  <mergeCells count="11">
    <mergeCell ref="C7:D7"/>
    <mergeCell ref="B9:D9"/>
    <mergeCell ref="B17:D17"/>
    <mergeCell ref="B25:D25"/>
    <mergeCell ref="B32:D32"/>
    <mergeCell ref="B3:G3"/>
    <mergeCell ref="B1:G1"/>
    <mergeCell ref="B2:G2"/>
    <mergeCell ref="C4:D4"/>
    <mergeCell ref="C5:D5"/>
    <mergeCell ref="C6:D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1:G57"/>
  <sheetViews>
    <sheetView showGridLines="0" tabSelected="1" workbookViewId="0">
      <selection activeCell="E17" sqref="E17"/>
    </sheetView>
  </sheetViews>
  <sheetFormatPr defaultColWidth="8.7109375" defaultRowHeight="13.5" x14ac:dyDescent="0.25"/>
  <cols>
    <col min="1" max="1" width="2" style="81" customWidth="1"/>
    <col min="2" max="2" width="22" style="81" customWidth="1"/>
    <col min="3" max="3" width="18" style="81" customWidth="1"/>
    <col min="4" max="4" width="15.85546875" style="81" customWidth="1"/>
    <col min="5" max="5" width="14" style="81" customWidth="1"/>
    <col min="6" max="7" width="18" style="81" customWidth="1"/>
    <col min="8" max="16384" width="8.7109375" style="81"/>
  </cols>
  <sheetData>
    <row r="1" spans="2:7" ht="31.5" customHeight="1" x14ac:dyDescent="0.25">
      <c r="B1" s="80" t="s">
        <v>184</v>
      </c>
      <c r="C1" s="80"/>
      <c r="D1" s="80"/>
      <c r="E1" s="80"/>
      <c r="F1" s="80"/>
      <c r="G1" s="80"/>
    </row>
    <row r="2" spans="2:7" ht="21.75" customHeight="1" x14ac:dyDescent="0.25">
      <c r="B2" s="82" t="s">
        <v>157</v>
      </c>
      <c r="C2" s="82"/>
      <c r="D2" s="82"/>
      <c r="E2" s="82"/>
      <c r="F2" s="82"/>
      <c r="G2" s="82"/>
    </row>
    <row r="3" spans="2:7" ht="15" customHeight="1" x14ac:dyDescent="0.25">
      <c r="B3" s="48" t="s">
        <v>185</v>
      </c>
      <c r="C3" s="48"/>
      <c r="D3" s="48"/>
      <c r="E3" s="48"/>
      <c r="F3" s="48"/>
      <c r="G3" s="48"/>
    </row>
    <row r="5" spans="2:7" ht="14.25" thickBot="1" x14ac:dyDescent="0.3">
      <c r="B5" s="83" t="s">
        <v>186</v>
      </c>
      <c r="C5" s="83"/>
      <c r="D5" s="83"/>
      <c r="E5" s="83"/>
      <c r="F5" s="83"/>
      <c r="G5" s="83"/>
    </row>
    <row r="7" spans="2:7" x14ac:dyDescent="0.25">
      <c r="B7" s="5" t="s">
        <v>158</v>
      </c>
      <c r="C7" s="5" t="s">
        <v>187</v>
      </c>
      <c r="D7" s="5" t="s">
        <v>159</v>
      </c>
      <c r="E7" s="5" t="s">
        <v>91</v>
      </c>
    </row>
    <row r="8" spans="2:7" ht="27.75" thickBot="1" x14ac:dyDescent="0.3">
      <c r="B8" s="13" t="s">
        <v>188</v>
      </c>
      <c r="C8" s="49">
        <v>3</v>
      </c>
      <c r="D8" s="13"/>
      <c r="E8" s="84" t="s">
        <v>189</v>
      </c>
    </row>
    <row r="9" spans="2:7" ht="41.25" thickBot="1" x14ac:dyDescent="0.3">
      <c r="B9" s="16" t="s">
        <v>190</v>
      </c>
      <c r="C9" s="49">
        <v>1E-3</v>
      </c>
      <c r="D9" s="16"/>
      <c r="E9" s="85" t="s">
        <v>191</v>
      </c>
    </row>
    <row r="10" spans="2:7" ht="27" x14ac:dyDescent="0.25">
      <c r="B10" s="13" t="s">
        <v>160</v>
      </c>
      <c r="C10" s="13"/>
      <c r="D10" s="50">
        <f>C8+C9</f>
        <v>3.0009999999999999</v>
      </c>
      <c r="E10" s="84" t="s">
        <v>192</v>
      </c>
    </row>
    <row r="11" spans="2:7" ht="27" x14ac:dyDescent="0.25">
      <c r="B11" s="16" t="s">
        <v>161</v>
      </c>
      <c r="C11" s="16"/>
      <c r="D11" s="50">
        <f>C8^2</f>
        <v>9</v>
      </c>
      <c r="E11" s="85" t="s">
        <v>193</v>
      </c>
    </row>
    <row r="12" spans="2:7" ht="27" x14ac:dyDescent="0.25">
      <c r="B12" s="13" t="s">
        <v>162</v>
      </c>
      <c r="C12" s="13"/>
      <c r="D12" s="50">
        <f>C10^2</f>
        <v>0</v>
      </c>
      <c r="E12" s="84" t="s">
        <v>194</v>
      </c>
    </row>
    <row r="13" spans="2:7" ht="27" x14ac:dyDescent="0.25">
      <c r="B13" s="16" t="s">
        <v>163</v>
      </c>
      <c r="C13" s="16"/>
      <c r="D13" s="50">
        <f>C12-C11</f>
        <v>0</v>
      </c>
      <c r="E13" s="85" t="s">
        <v>164</v>
      </c>
    </row>
    <row r="14" spans="2:7" ht="40.5" x14ac:dyDescent="0.25">
      <c r="B14" s="13" t="s">
        <v>165</v>
      </c>
      <c r="C14" s="13"/>
      <c r="D14" s="93">
        <f>C13/C9</f>
        <v>0</v>
      </c>
      <c r="E14" s="84" t="s">
        <v>195</v>
      </c>
    </row>
    <row r="16" spans="2:7" ht="15" customHeight="1" x14ac:dyDescent="0.25">
      <c r="B16" s="48" t="s">
        <v>196</v>
      </c>
      <c r="C16" s="48"/>
      <c r="D16" s="48"/>
      <c r="E16" s="48"/>
      <c r="F16" s="48"/>
      <c r="G16" s="48"/>
    </row>
    <row r="18" spans="2:7" ht="14.25" thickBot="1" x14ac:dyDescent="0.3">
      <c r="B18" s="83" t="s">
        <v>197</v>
      </c>
      <c r="C18" s="83"/>
      <c r="D18" s="83"/>
      <c r="E18" s="83"/>
      <c r="F18" s="83"/>
      <c r="G18" s="83"/>
    </row>
    <row r="20" spans="2:7" x14ac:dyDescent="0.25">
      <c r="B20" s="5" t="s">
        <v>198</v>
      </c>
      <c r="C20" s="5" t="s">
        <v>166</v>
      </c>
      <c r="D20" s="5" t="s">
        <v>167</v>
      </c>
      <c r="E20" s="5" t="s">
        <v>168</v>
      </c>
      <c r="F20" s="5" t="s">
        <v>169</v>
      </c>
      <c r="G20" s="5" t="s">
        <v>170</v>
      </c>
    </row>
    <row r="21" spans="2:7" ht="14.25" thickBot="1" x14ac:dyDescent="0.3">
      <c r="B21" s="51">
        <v>1</v>
      </c>
      <c r="C21" s="13">
        <v>3</v>
      </c>
      <c r="D21" s="52">
        <f t="shared" ref="D21:D26" si="0">C21+B21</f>
        <v>4</v>
      </c>
      <c r="E21" s="50">
        <f t="shared" ref="E21:F26" si="1">C21^2</f>
        <v>9</v>
      </c>
      <c r="F21" s="50">
        <f t="shared" si="1"/>
        <v>16</v>
      </c>
      <c r="G21" s="50">
        <f t="shared" ref="G21:G26" si="2">(F21-E21)/B21</f>
        <v>7</v>
      </c>
    </row>
    <row r="22" spans="2:7" ht="14.25" thickBot="1" x14ac:dyDescent="0.3">
      <c r="B22" s="51">
        <v>0.1</v>
      </c>
      <c r="C22" s="16">
        <v>3</v>
      </c>
      <c r="D22" s="52">
        <f t="shared" si="0"/>
        <v>3.1</v>
      </c>
      <c r="E22" s="50">
        <f t="shared" si="1"/>
        <v>9</v>
      </c>
      <c r="F22" s="50">
        <f t="shared" si="1"/>
        <v>9.6100000000000012</v>
      </c>
      <c r="G22" s="50">
        <f t="shared" si="2"/>
        <v>6.1000000000000121</v>
      </c>
    </row>
    <row r="23" spans="2:7" ht="14.25" thickBot="1" x14ac:dyDescent="0.3">
      <c r="B23" s="51">
        <v>0.01</v>
      </c>
      <c r="C23" s="13">
        <v>3</v>
      </c>
      <c r="D23" s="52">
        <f t="shared" si="0"/>
        <v>3.01</v>
      </c>
      <c r="E23" s="50">
        <f t="shared" si="1"/>
        <v>9</v>
      </c>
      <c r="F23" s="50">
        <f t="shared" si="1"/>
        <v>9.0600999999999985</v>
      </c>
      <c r="G23" s="50">
        <f t="shared" si="2"/>
        <v>6.0099999999998488</v>
      </c>
    </row>
    <row r="24" spans="2:7" ht="14.25" thickBot="1" x14ac:dyDescent="0.3">
      <c r="B24" s="51">
        <v>1E-3</v>
      </c>
      <c r="C24" s="16">
        <v>3</v>
      </c>
      <c r="D24" s="52">
        <f t="shared" si="0"/>
        <v>3.0009999999999999</v>
      </c>
      <c r="E24" s="50">
        <f t="shared" si="1"/>
        <v>9</v>
      </c>
      <c r="F24" s="50">
        <f t="shared" si="1"/>
        <v>9.0060009999999995</v>
      </c>
      <c r="G24" s="50">
        <f t="shared" si="2"/>
        <v>6.000999999999479</v>
      </c>
    </row>
    <row r="25" spans="2:7" ht="14.25" thickBot="1" x14ac:dyDescent="0.3">
      <c r="B25" s="51">
        <v>1E-4</v>
      </c>
      <c r="C25" s="13">
        <v>3</v>
      </c>
      <c r="D25" s="52">
        <f t="shared" si="0"/>
        <v>3.0001000000000002</v>
      </c>
      <c r="E25" s="50">
        <f t="shared" si="1"/>
        <v>9</v>
      </c>
      <c r="F25" s="50">
        <f t="shared" si="1"/>
        <v>9.0006000100000012</v>
      </c>
      <c r="G25" s="50">
        <f t="shared" si="2"/>
        <v>6.0001000000120541</v>
      </c>
    </row>
    <row r="26" spans="2:7" ht="14.25" thickBot="1" x14ac:dyDescent="0.3">
      <c r="B26" s="51">
        <v>1.0000000000000001E-5</v>
      </c>
      <c r="C26" s="16">
        <v>3</v>
      </c>
      <c r="D26" s="52">
        <f t="shared" si="0"/>
        <v>3.0000100000000001</v>
      </c>
      <c r="E26" s="50">
        <f t="shared" si="1"/>
        <v>9</v>
      </c>
      <c r="F26" s="50">
        <f t="shared" si="1"/>
        <v>9.0000600000999995</v>
      </c>
      <c r="G26" s="50">
        <f t="shared" si="2"/>
        <v>6.0000099999513159</v>
      </c>
    </row>
    <row r="27" spans="2:7" ht="15" customHeight="1" x14ac:dyDescent="0.25">
      <c r="B27" s="10" t="s">
        <v>199</v>
      </c>
      <c r="C27" s="10"/>
      <c r="D27" s="10"/>
      <c r="E27" s="10"/>
      <c r="F27" s="10"/>
      <c r="G27" s="10"/>
    </row>
    <row r="29" spans="2:7" ht="14.25" thickBot="1" x14ac:dyDescent="0.3">
      <c r="B29" s="83" t="s">
        <v>171</v>
      </c>
      <c r="C29" s="83"/>
      <c r="D29" s="83"/>
      <c r="E29" s="83"/>
      <c r="F29" s="83"/>
      <c r="G29" s="83"/>
    </row>
    <row r="30" spans="2:7" x14ac:dyDescent="0.25">
      <c r="B30" s="5" t="s">
        <v>172</v>
      </c>
      <c r="C30" s="5" t="s">
        <v>173</v>
      </c>
      <c r="D30" s="5" t="s">
        <v>72</v>
      </c>
    </row>
    <row r="31" spans="2:7" ht="40.5" x14ac:dyDescent="0.25">
      <c r="B31" s="6" t="s">
        <v>174</v>
      </c>
      <c r="C31" s="8" t="s">
        <v>175</v>
      </c>
      <c r="D31" s="13" t="s">
        <v>176</v>
      </c>
    </row>
    <row r="32" spans="2:7" ht="40.5" x14ac:dyDescent="0.25">
      <c r="B32" s="7" t="s">
        <v>177</v>
      </c>
      <c r="C32" s="9" t="s">
        <v>178</v>
      </c>
      <c r="D32" s="16" t="s">
        <v>179</v>
      </c>
    </row>
    <row r="33" spans="2:7" ht="40.5" x14ac:dyDescent="0.25">
      <c r="B33" s="6" t="s">
        <v>180</v>
      </c>
      <c r="C33" s="8" t="s">
        <v>181</v>
      </c>
      <c r="D33" s="13" t="s">
        <v>182</v>
      </c>
    </row>
    <row r="35" spans="2:7" ht="14.25" thickBot="1" x14ac:dyDescent="0.3">
      <c r="B35" s="83" t="s">
        <v>200</v>
      </c>
      <c r="C35" s="83"/>
      <c r="D35" s="83"/>
      <c r="E35" s="83"/>
      <c r="F35" s="83"/>
      <c r="G35" s="83"/>
    </row>
    <row r="36" spans="2:7" x14ac:dyDescent="0.25">
      <c r="B36" s="88" t="s">
        <v>166</v>
      </c>
      <c r="C36" s="88" t="s">
        <v>183</v>
      </c>
      <c r="D36" s="88" t="s">
        <v>201</v>
      </c>
    </row>
    <row r="37" spans="2:7" x14ac:dyDescent="0.25">
      <c r="B37" s="94">
        <v>0</v>
      </c>
      <c r="C37" s="88">
        <f t="shared" ref="C37:C49" si="3">B37^2</f>
        <v>0</v>
      </c>
      <c r="D37" s="88">
        <f t="shared" ref="D37:D49" si="4">6*(B37-3)+9</f>
        <v>-9</v>
      </c>
    </row>
    <row r="38" spans="2:7" x14ac:dyDescent="0.25">
      <c r="B38" s="94">
        <v>0.5</v>
      </c>
      <c r="C38" s="88">
        <f t="shared" si="3"/>
        <v>0.25</v>
      </c>
      <c r="D38" s="88">
        <f t="shared" si="4"/>
        <v>-6</v>
      </c>
    </row>
    <row r="39" spans="2:7" x14ac:dyDescent="0.25">
      <c r="B39" s="94">
        <v>1</v>
      </c>
      <c r="C39" s="88">
        <f t="shared" si="3"/>
        <v>1</v>
      </c>
      <c r="D39" s="88">
        <f t="shared" si="4"/>
        <v>-3</v>
      </c>
    </row>
    <row r="40" spans="2:7" x14ac:dyDescent="0.25">
      <c r="B40" s="94">
        <v>1.5</v>
      </c>
      <c r="C40" s="88">
        <f t="shared" si="3"/>
        <v>2.25</v>
      </c>
      <c r="D40" s="88">
        <f t="shared" si="4"/>
        <v>0</v>
      </c>
    </row>
    <row r="41" spans="2:7" x14ac:dyDescent="0.25">
      <c r="B41" s="94">
        <v>2</v>
      </c>
      <c r="C41" s="88">
        <f t="shared" si="3"/>
        <v>4</v>
      </c>
      <c r="D41" s="88">
        <f t="shared" si="4"/>
        <v>3</v>
      </c>
    </row>
    <row r="42" spans="2:7" x14ac:dyDescent="0.25">
      <c r="B42" s="94">
        <v>2.5</v>
      </c>
      <c r="C42" s="88">
        <f t="shared" si="3"/>
        <v>6.25</v>
      </c>
      <c r="D42" s="88">
        <f t="shared" si="4"/>
        <v>6</v>
      </c>
    </row>
    <row r="43" spans="2:7" x14ac:dyDescent="0.25">
      <c r="B43" s="94">
        <v>3</v>
      </c>
      <c r="C43" s="88">
        <f t="shared" si="3"/>
        <v>9</v>
      </c>
      <c r="D43" s="88">
        <f t="shared" si="4"/>
        <v>9</v>
      </c>
    </row>
    <row r="44" spans="2:7" x14ac:dyDescent="0.25">
      <c r="B44" s="94">
        <v>3.5</v>
      </c>
      <c r="C44" s="88">
        <f t="shared" si="3"/>
        <v>12.25</v>
      </c>
      <c r="D44" s="88">
        <f t="shared" si="4"/>
        <v>12</v>
      </c>
    </row>
    <row r="45" spans="2:7" x14ac:dyDescent="0.25">
      <c r="B45" s="94">
        <v>4</v>
      </c>
      <c r="C45" s="88">
        <f t="shared" si="3"/>
        <v>16</v>
      </c>
      <c r="D45" s="88">
        <f t="shared" si="4"/>
        <v>15</v>
      </c>
    </row>
    <row r="46" spans="2:7" x14ac:dyDescent="0.25">
      <c r="B46" s="94">
        <v>4.5</v>
      </c>
      <c r="C46" s="88">
        <f t="shared" si="3"/>
        <v>20.25</v>
      </c>
      <c r="D46" s="88">
        <f t="shared" si="4"/>
        <v>18</v>
      </c>
    </row>
    <row r="47" spans="2:7" x14ac:dyDescent="0.25">
      <c r="B47" s="94">
        <v>5</v>
      </c>
      <c r="C47" s="88">
        <f t="shared" si="3"/>
        <v>25</v>
      </c>
      <c r="D47" s="88">
        <f t="shared" si="4"/>
        <v>21</v>
      </c>
    </row>
    <row r="48" spans="2:7" x14ac:dyDescent="0.25">
      <c r="B48" s="94">
        <v>5.5</v>
      </c>
      <c r="C48" s="88">
        <f t="shared" si="3"/>
        <v>30.25</v>
      </c>
      <c r="D48" s="88">
        <f t="shared" si="4"/>
        <v>24</v>
      </c>
    </row>
    <row r="49" spans="2:7" x14ac:dyDescent="0.25">
      <c r="B49" s="94">
        <v>6</v>
      </c>
      <c r="C49" s="88">
        <f t="shared" si="3"/>
        <v>36</v>
      </c>
      <c r="D49" s="88">
        <f t="shared" si="4"/>
        <v>27</v>
      </c>
    </row>
    <row r="57" spans="2:7" ht="14.25" thickBot="1" x14ac:dyDescent="0.3">
      <c r="B57" s="83" t="s">
        <v>202</v>
      </c>
      <c r="C57" s="83"/>
      <c r="D57" s="83"/>
      <c r="E57" s="83"/>
      <c r="F57" s="83"/>
      <c r="G57" s="83"/>
    </row>
  </sheetData>
  <mergeCells count="10">
    <mergeCell ref="B27:G27"/>
    <mergeCell ref="B29:G29"/>
    <mergeCell ref="B35:G35"/>
    <mergeCell ref="B57:G57"/>
    <mergeCell ref="B1:G1"/>
    <mergeCell ref="B2:G2"/>
    <mergeCell ref="B3:G3"/>
    <mergeCell ref="B5:G5"/>
    <mergeCell ref="B16:G16"/>
    <mergeCell ref="B18:G18"/>
  </mergeCells>
  <dataValidations count="17">
    <dataValidation allowBlank="1" showInputMessage="1" promptTitle="접선 그래프" prompt="파란 곡선이 f(x)=x^2, 빨간 직선이 x=3에서의 접선(기울기=6)임. 접선=미분의 기하학적 의미." sqref="B35">
      <formula1>0</formula1>
      <formula2>0</formula2>
    </dataValidation>
    <dataValidation allowBlank="1" showInputMessage="1" promptTitle="근사 기울기" prompt="h=1e-05일 때 근사 기울기. 정확한 미분값 6과 비교할 것." sqref="G26">
      <formula1>0</formula1>
      <formula2>0</formula2>
    </dataValidation>
    <dataValidation allowBlank="1" showInputMessage="1" promptTitle="근사 기울기" prompt="h=0.0001일 때 근사 기울기. 정확한 미분값 6과 비교할 것." sqref="G25">
      <formula1>0</formula1>
      <formula2>0</formula2>
    </dataValidation>
    <dataValidation allowBlank="1" showInputMessage="1" promptTitle="근사 기울기" prompt="h=0.001일 때 근사 기울기. 정확한 미분값 6과 비교할 것." sqref="G24">
      <formula1>0</formula1>
      <formula2>0</formula2>
    </dataValidation>
    <dataValidation allowBlank="1" showInputMessage="1" promptTitle="근사 기울기" prompt="h=0.01일 때 근사 기울기. 정확한 미분값 6과 비교할 것." sqref="G23">
      <formula1>0</formula1>
      <formula2>0</formula2>
    </dataValidation>
    <dataValidation allowBlank="1" showInputMessage="1" promptTitle="근사 기울기" prompt="h=0.1일 때 근사 기울기. 정확한 미분값 6과 비교할 것." sqref="G22">
      <formula1>0</formula1>
      <formula2>0</formula2>
    </dataValidation>
    <dataValidation allowBlank="1" showInputMessage="1" promptTitle="근사 기울기" prompt="h=1일 때 근사 기울기. 정확한 미분값 6과 비교할 것." sqref="G21">
      <formula1>0</formula1>
      <formula2>0</formula2>
    </dataValidation>
    <dataValidation allowBlank="1" showInputMessage="1" promptTitle="수렴 검증" prompt="h를 10배씩 줄여가며 근사 미분값이 6에 수렴하는 과정을 보여줌." sqref="B18">
      <formula1>0</formula1>
      <formula2>0</formula2>
    </dataValidation>
    <dataValidation allowBlank="1" showInputMessage="1" promptTitle="근사 미분" prompt="수식: =C13/C9. 이 값이 6에 수렴함." sqref="D14">
      <formula1>0</formula1>
      <formula2>0</formula2>
    </dataValidation>
    <dataValidation allowBlank="1" showInputMessage="1" promptTitle="변화량" prompt="수식: =C12-C11. 두 지점의 함수값 차이임." sqref="D13">
      <formula1>0</formula1>
      <formula2>0</formula2>
    </dataValidation>
    <dataValidation allowBlank="1" showInputMessage="1" promptTitle="수식" prompt="수식: =C10^2. x+h 지점에서의 함수값임." sqref="D12">
      <formula1>0</formula1>
      <formula2>0</formula2>
    </dataValidation>
    <dataValidation allowBlank="1" showInputMessage="1" promptTitle="수식" prompt="수식: =C8^2. x의 제곱을 계산함." sqref="D11">
      <formula1>0</formula1>
      <formula2>0</formula2>
    </dataValidation>
    <dataValidation allowBlank="1" showInputMessage="1" promptTitle="수식" prompt="수식: =C8+C9. 회색배경=수식 자동계산 셀임." sqref="D10">
      <formula1>0</formula1>
      <formula2>0</formula2>
    </dataValidation>
    <dataValidation allowBlank="1" showInputMessage="1" promptTitle="미소변화 h" prompt="0에 가까울수록 미분값에 수렴함. 값을 바꿔볼 것." sqref="C9">
      <formula1>0</formula1>
      <formula2>0</formula2>
    </dataValidation>
    <dataValidation allowBlank="1" showInputMessage="1" promptTitle="입력값" prompt="파란배경=입력값. 이 값을 바꾸면 아래 결과가 모두 변함." sqref="C8">
      <formula1>0</formula1>
      <formula2>0</formula2>
    </dataValidation>
    <dataValidation allowBlank="1" showInputMessage="1" promptTitle="학습 목표" prompt="가장 단순한 2차 함수로 미분 원리를 보여줌. x=3 근처에서 접선의 기울기를 수치적으로 구함." sqref="B5">
      <formula1>0</formula1>
      <formula2>0</formula2>
    </dataValidation>
    <dataValidation allowBlank="1" showInputMessage="1" promptTitle="미분이란" prompt="순간 변화율을 구하는 연산임. 금융에서는 가격이 금리 변화에 얼마나 민감한지 측정할 때 사용함." sqref="B3">
      <formula1>0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1:G34"/>
  <sheetViews>
    <sheetView showGridLines="0" workbookViewId="0">
      <selection activeCell="A13" sqref="A1:XFD1048576"/>
    </sheetView>
  </sheetViews>
  <sheetFormatPr defaultColWidth="8.7109375" defaultRowHeight="13.5" x14ac:dyDescent="0.25"/>
  <cols>
    <col min="1" max="1" width="2" style="81" customWidth="1"/>
    <col min="2" max="2" width="18" style="81" customWidth="1"/>
    <col min="3" max="3" width="12" style="81" customWidth="1"/>
    <col min="4" max="5" width="14" style="81" customWidth="1"/>
    <col min="6" max="6" width="20" style="81" customWidth="1"/>
    <col min="7" max="7" width="22" style="81" customWidth="1"/>
    <col min="8" max="16384" width="8.7109375" style="81"/>
  </cols>
  <sheetData>
    <row r="1" spans="2:7" x14ac:dyDescent="0.25">
      <c r="B1" s="80" t="s">
        <v>240</v>
      </c>
      <c r="C1" s="80"/>
      <c r="D1" s="80"/>
      <c r="E1" s="80"/>
      <c r="F1" s="80"/>
      <c r="G1" s="80"/>
    </row>
    <row r="2" spans="2:7" ht="21.75" customHeight="1" x14ac:dyDescent="0.25">
      <c r="B2" s="82" t="s">
        <v>241</v>
      </c>
      <c r="C2" s="82"/>
      <c r="D2" s="82"/>
      <c r="E2" s="82"/>
      <c r="F2" s="82"/>
      <c r="G2" s="82"/>
    </row>
    <row r="3" spans="2:7" ht="15" customHeight="1" x14ac:dyDescent="0.25">
      <c r="B3" s="48" t="s">
        <v>242</v>
      </c>
      <c r="C3" s="48"/>
      <c r="D3" s="48"/>
      <c r="E3" s="48"/>
      <c r="F3" s="48"/>
      <c r="G3" s="48"/>
    </row>
    <row r="5" spans="2:7" ht="14.25" thickBot="1" x14ac:dyDescent="0.3">
      <c r="B5" s="83" t="s">
        <v>203</v>
      </c>
      <c r="C5" s="83"/>
      <c r="D5" s="83"/>
      <c r="E5" s="83"/>
      <c r="F5" s="83"/>
      <c r="G5" s="83"/>
    </row>
    <row r="6" spans="2:7" x14ac:dyDescent="0.25">
      <c r="B6" s="5" t="s">
        <v>204</v>
      </c>
      <c r="C6" s="5" t="s">
        <v>243</v>
      </c>
      <c r="D6" s="5" t="s">
        <v>244</v>
      </c>
      <c r="E6" s="5" t="s">
        <v>245</v>
      </c>
      <c r="F6" s="5" t="s">
        <v>246</v>
      </c>
      <c r="G6" s="5" t="s">
        <v>91</v>
      </c>
    </row>
    <row r="7" spans="2:7" ht="27" x14ac:dyDescent="0.25">
      <c r="B7" s="6" t="s">
        <v>205</v>
      </c>
      <c r="C7" s="13">
        <v>2</v>
      </c>
      <c r="D7" s="53" t="s">
        <v>206</v>
      </c>
      <c r="E7" s="13" t="s">
        <v>207</v>
      </c>
      <c r="F7" s="54" t="s">
        <v>208</v>
      </c>
      <c r="G7" s="84" t="s">
        <v>247</v>
      </c>
    </row>
    <row r="8" spans="2:7" ht="27" x14ac:dyDescent="0.25">
      <c r="B8" s="7" t="s">
        <v>209</v>
      </c>
      <c r="C8" s="16">
        <v>3</v>
      </c>
      <c r="D8" s="55" t="s">
        <v>210</v>
      </c>
      <c r="E8" s="16" t="s">
        <v>211</v>
      </c>
      <c r="F8" s="56" t="s">
        <v>212</v>
      </c>
      <c r="G8" s="85" t="s">
        <v>248</v>
      </c>
    </row>
    <row r="9" spans="2:7" x14ac:dyDescent="0.25">
      <c r="B9" s="6" t="s">
        <v>213</v>
      </c>
      <c r="C9" s="13">
        <v>5</v>
      </c>
      <c r="D9" s="53" t="s">
        <v>214</v>
      </c>
      <c r="E9" s="13" t="s">
        <v>215</v>
      </c>
      <c r="F9" s="54" t="s">
        <v>216</v>
      </c>
      <c r="G9" s="84" t="s">
        <v>217</v>
      </c>
    </row>
    <row r="10" spans="2:7" x14ac:dyDescent="0.25">
      <c r="B10" s="7" t="s">
        <v>218</v>
      </c>
      <c r="C10" s="16">
        <v>1</v>
      </c>
      <c r="D10" s="55" t="s">
        <v>219</v>
      </c>
      <c r="E10" s="16" t="s">
        <v>220</v>
      </c>
      <c r="F10" s="56" t="s">
        <v>221</v>
      </c>
      <c r="G10" s="85" t="s">
        <v>249</v>
      </c>
    </row>
    <row r="11" spans="2:7" x14ac:dyDescent="0.25">
      <c r="B11" s="6" t="s">
        <v>250</v>
      </c>
      <c r="C11" s="13">
        <v>0</v>
      </c>
      <c r="D11" s="53" t="s">
        <v>222</v>
      </c>
      <c r="E11" s="13" t="s">
        <v>223</v>
      </c>
      <c r="F11" s="54" t="s">
        <v>251</v>
      </c>
      <c r="G11" s="84" t="s">
        <v>224</v>
      </c>
    </row>
    <row r="12" spans="2:7" x14ac:dyDescent="0.25">
      <c r="B12" s="7" t="s">
        <v>225</v>
      </c>
      <c r="C12" s="16">
        <v>-1</v>
      </c>
      <c r="D12" s="55" t="s">
        <v>226</v>
      </c>
      <c r="E12" s="16" t="s">
        <v>227</v>
      </c>
      <c r="F12" s="56" t="s">
        <v>228</v>
      </c>
      <c r="G12" s="85" t="s">
        <v>229</v>
      </c>
    </row>
    <row r="13" spans="2:7" x14ac:dyDescent="0.25">
      <c r="B13" s="57" t="s">
        <v>230</v>
      </c>
      <c r="C13" s="58" t="s">
        <v>231</v>
      </c>
      <c r="D13" s="59" t="s">
        <v>232</v>
      </c>
      <c r="E13" s="58" t="s">
        <v>233</v>
      </c>
      <c r="F13" s="60" t="s">
        <v>234</v>
      </c>
      <c r="G13" s="87" t="s">
        <v>235</v>
      </c>
    </row>
    <row r="15" spans="2:7" ht="14.25" thickBot="1" x14ac:dyDescent="0.3">
      <c r="B15" s="83" t="s">
        <v>252</v>
      </c>
      <c r="C15" s="83"/>
      <c r="D15" s="83"/>
      <c r="E15" s="83"/>
      <c r="F15" s="83"/>
      <c r="G15" s="83"/>
    </row>
    <row r="16" spans="2:7" ht="27" x14ac:dyDescent="0.25">
      <c r="B16" s="5" t="s">
        <v>166</v>
      </c>
      <c r="C16" s="5" t="s">
        <v>253</v>
      </c>
      <c r="D16" s="5" t="s">
        <v>236</v>
      </c>
      <c r="E16" s="5" t="s">
        <v>237</v>
      </c>
      <c r="F16" s="5" t="s">
        <v>254</v>
      </c>
      <c r="G16" s="5" t="s">
        <v>255</v>
      </c>
    </row>
    <row r="17" spans="2:7" ht="14.25" thickBot="1" x14ac:dyDescent="0.3">
      <c r="B17" s="61">
        <v>1</v>
      </c>
      <c r="C17" s="62">
        <v>1E-4</v>
      </c>
      <c r="D17" s="63">
        <f>B17^3</f>
        <v>1</v>
      </c>
      <c r="E17" s="50">
        <f>(B17+C17)^3</f>
        <v>1.0003000300009999</v>
      </c>
      <c r="F17" s="50">
        <f>(E17-D17)/C17</f>
        <v>3.0003000099987354</v>
      </c>
      <c r="G17" s="50">
        <f>3*B17^2</f>
        <v>3</v>
      </c>
    </row>
    <row r="18" spans="2:7" ht="14.25" thickBot="1" x14ac:dyDescent="0.3">
      <c r="B18" s="61">
        <v>2</v>
      </c>
      <c r="C18" s="62">
        <v>1E-4</v>
      </c>
      <c r="D18" s="63">
        <f>B18^3</f>
        <v>8</v>
      </c>
      <c r="E18" s="50">
        <f>(B18+C18)^3</f>
        <v>8.0012000600010023</v>
      </c>
      <c r="F18" s="50">
        <f>(E18-D18)/C18</f>
        <v>12.000600010022566</v>
      </c>
      <c r="G18" s="50">
        <f>3*B18^2</f>
        <v>12</v>
      </c>
    </row>
    <row r="19" spans="2:7" ht="14.25" thickBot="1" x14ac:dyDescent="0.3">
      <c r="B19" s="61">
        <v>3</v>
      </c>
      <c r="C19" s="62">
        <v>1E-4</v>
      </c>
      <c r="D19" s="63">
        <f>B19^3</f>
        <v>27</v>
      </c>
      <c r="E19" s="50">
        <f>(B19+C19)^3</f>
        <v>27.002700090001007</v>
      </c>
      <c r="F19" s="50">
        <f>(E19-D19)/C19</f>
        <v>27.00090001006572</v>
      </c>
      <c r="G19" s="50">
        <f>3*B19^2</f>
        <v>27</v>
      </c>
    </row>
    <row r="20" spans="2:7" ht="14.25" thickBot="1" x14ac:dyDescent="0.3">
      <c r="B20" s="61">
        <v>4</v>
      </c>
      <c r="C20" s="62">
        <v>1E-4</v>
      </c>
      <c r="D20" s="63">
        <f>B20^3</f>
        <v>64</v>
      </c>
      <c r="E20" s="50">
        <f>(B20+C20)^3</f>
        <v>64.004800120000994</v>
      </c>
      <c r="F20" s="50">
        <f>(E20-D20)/C20</f>
        <v>48.001200009935019</v>
      </c>
      <c r="G20" s="50">
        <f>3*B20^2</f>
        <v>48</v>
      </c>
    </row>
    <row r="21" spans="2:7" ht="14.25" thickBot="1" x14ac:dyDescent="0.3">
      <c r="B21" s="61">
        <v>5</v>
      </c>
      <c r="C21" s="62">
        <v>1E-4</v>
      </c>
      <c r="D21" s="63">
        <f>B21^3</f>
        <v>125</v>
      </c>
      <c r="E21" s="50">
        <f>(B21+C21)^3</f>
        <v>125.00750015000099</v>
      </c>
      <c r="F21" s="50">
        <f>(E21-D21)/C21</f>
        <v>75.001500009932442</v>
      </c>
      <c r="G21" s="50">
        <f>3*B21^2</f>
        <v>75</v>
      </c>
    </row>
    <row r="22" spans="2:7" ht="15" customHeight="1" x14ac:dyDescent="0.25">
      <c r="B22" s="10" t="s">
        <v>256</v>
      </c>
      <c r="C22" s="10"/>
      <c r="D22" s="10"/>
      <c r="E22" s="10"/>
      <c r="F22" s="10"/>
      <c r="G22" s="10"/>
    </row>
    <row r="24" spans="2:7" ht="14.25" thickBot="1" x14ac:dyDescent="0.3">
      <c r="B24" s="83" t="s">
        <v>257</v>
      </c>
      <c r="C24" s="83"/>
      <c r="D24" s="83"/>
      <c r="E24" s="83"/>
      <c r="F24" s="83"/>
      <c r="G24" s="83"/>
    </row>
    <row r="25" spans="2:7" x14ac:dyDescent="0.25">
      <c r="B25" s="88" t="s">
        <v>238</v>
      </c>
      <c r="C25" s="88" t="s">
        <v>239</v>
      </c>
      <c r="D25" s="88" t="s">
        <v>258</v>
      </c>
    </row>
    <row r="26" spans="2:7" x14ac:dyDescent="0.25">
      <c r="B26" s="91">
        <v>1</v>
      </c>
      <c r="C26" s="92">
        <f t="shared" ref="C26:C34" si="0">((3+B26)^3-27)/B26</f>
        <v>37</v>
      </c>
      <c r="D26" s="92">
        <f t="shared" ref="D26:D34" si="1">ABS(C26-27)/27*100</f>
        <v>37.037037037037038</v>
      </c>
    </row>
    <row r="27" spans="2:7" x14ac:dyDescent="0.25">
      <c r="B27" s="91">
        <v>0.5</v>
      </c>
      <c r="C27" s="92">
        <f t="shared" si="0"/>
        <v>31.75</v>
      </c>
      <c r="D27" s="92">
        <f t="shared" si="1"/>
        <v>17.592592592592592</v>
      </c>
    </row>
    <row r="28" spans="2:7" x14ac:dyDescent="0.25">
      <c r="B28" s="91">
        <v>0.1</v>
      </c>
      <c r="C28" s="92">
        <f t="shared" si="0"/>
        <v>27.910000000000039</v>
      </c>
      <c r="D28" s="92">
        <f t="shared" si="1"/>
        <v>3.3703703703705159</v>
      </c>
    </row>
    <row r="29" spans="2:7" x14ac:dyDescent="0.25">
      <c r="B29" s="91">
        <v>0.05</v>
      </c>
      <c r="C29" s="92">
        <f t="shared" si="0"/>
        <v>27.452499999999844</v>
      </c>
      <c r="D29" s="92">
        <f t="shared" si="1"/>
        <v>1.6759259259253492</v>
      </c>
    </row>
    <row r="30" spans="2:7" x14ac:dyDescent="0.25">
      <c r="B30" s="91">
        <v>0.01</v>
      </c>
      <c r="C30" s="92">
        <f t="shared" si="0"/>
        <v>27.090099999999495</v>
      </c>
      <c r="D30" s="92">
        <f t="shared" si="1"/>
        <v>0.33370370370183389</v>
      </c>
    </row>
    <row r="31" spans="2:7" x14ac:dyDescent="0.25">
      <c r="B31" s="91">
        <v>5.0000000000000001E-3</v>
      </c>
      <c r="C31" s="92">
        <f t="shared" si="0"/>
        <v>27.045024999999612</v>
      </c>
      <c r="D31" s="92">
        <f t="shared" si="1"/>
        <v>0.16675925925782126</v>
      </c>
    </row>
    <row r="32" spans="2:7" x14ac:dyDescent="0.25">
      <c r="B32" s="91">
        <v>1E-3</v>
      </c>
      <c r="C32" s="92">
        <f t="shared" si="0"/>
        <v>27.009000999996147</v>
      </c>
      <c r="D32" s="92">
        <f t="shared" si="1"/>
        <v>3.3337037022765463E-2</v>
      </c>
    </row>
    <row r="33" spans="2:4" x14ac:dyDescent="0.25">
      <c r="B33" s="91">
        <v>5.0000000000000001E-4</v>
      </c>
      <c r="C33" s="92">
        <f t="shared" si="0"/>
        <v>27.004500250008334</v>
      </c>
      <c r="D33" s="92">
        <f t="shared" si="1"/>
        <v>1.6667592623460022E-2</v>
      </c>
    </row>
    <row r="34" spans="2:4" x14ac:dyDescent="0.25">
      <c r="B34" s="91">
        <v>1E-4</v>
      </c>
      <c r="C34" s="92">
        <f t="shared" si="0"/>
        <v>27.00090001006572</v>
      </c>
      <c r="D34" s="92">
        <f t="shared" si="1"/>
        <v>3.3333706137791863E-3</v>
      </c>
    </row>
  </sheetData>
  <mergeCells count="7">
    <mergeCell ref="B24:G24"/>
    <mergeCell ref="B1:G1"/>
    <mergeCell ref="B2:G2"/>
    <mergeCell ref="B3:G3"/>
    <mergeCell ref="B5:G5"/>
    <mergeCell ref="B15:G15"/>
    <mergeCell ref="B22:G22"/>
  </mergeCells>
  <dataValidations count="6">
    <dataValidation allowBlank="1" showInputMessage="1" promptTitle="수렴 그래프" prompt="h가 클 때는 오차가 크지만, h를 줄일수록 정확한 미분값 27에 수렴함. 이것이 거듭제곱 법칙의 수치적 증거임." sqref="B24">
      <formula1>0</formula1>
      <formula2>0</formula2>
    </dataValidation>
    <dataValidation allowBlank="1" showInputMessage="1" promptTitle="공식 미분" prompt="거듭제곱 법칙으로 구한 정확한 값. 왼쪽과 거의 일치함." sqref="G17:G21">
      <formula1>0</formula1>
      <formula2>0</formula2>
    </dataValidation>
    <dataValidation allowBlank="1" showInputMessage="1" promptTitle="근사 미분" prompt="수치적 근사값. 오른쪽 공식값과 비교할 것." sqref="F17:F21">
      <formula1>0</formula1>
      <formula2>0</formula2>
    </dataValidation>
    <dataValidation allowBlank="1" showInputMessage="1" promptTitle="수치 검증" prompt="이론 공식이 수치적으로도 맞는지 검증함." sqref="B15">
      <formula1>0</formula1>
      <formula2>0</formula2>
    </dataValidation>
    <dataValidation allowBlank="1" showInputMessage="1" promptTitle="핵심 패턴" prompt="채권 가격 P=C*(1+y)^(-n)을 y로 미분할 때 이 패턴을 사용함." sqref="B13">
      <formula1>0</formula1>
      <formula2>0</formula2>
    </dataValidation>
    <dataValidation allowBlank="1" showInputMessage="1" promptTitle="거듭제곱 법칙" prompt="다항함수 미분의 기본 규칙임. 채권 가격 P=C*(1+y)^(-n)을 미분할 때 필수임." sqref="B3">
      <formula1>0</formula1>
      <formula2>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1:G44"/>
  <sheetViews>
    <sheetView showGridLines="0" topLeftCell="A7" workbookViewId="0">
      <selection activeCell="D25" sqref="D25"/>
    </sheetView>
  </sheetViews>
  <sheetFormatPr defaultColWidth="8.7109375" defaultRowHeight="13.5" x14ac:dyDescent="0.25"/>
  <cols>
    <col min="1" max="1" width="2" style="81" customWidth="1"/>
    <col min="2" max="2" width="24" style="81" customWidth="1"/>
    <col min="3" max="3" width="30" style="81" customWidth="1"/>
    <col min="4" max="4" width="16" style="81" customWidth="1"/>
    <col min="5" max="5" width="30" style="81" customWidth="1"/>
    <col min="6" max="6" width="24" style="81" customWidth="1"/>
    <col min="7" max="16384" width="8.7109375" style="81"/>
  </cols>
  <sheetData>
    <row r="1" spans="2:7" x14ac:dyDescent="0.25">
      <c r="B1" s="80" t="s">
        <v>291</v>
      </c>
      <c r="C1" s="80"/>
      <c r="D1" s="80"/>
      <c r="E1" s="80"/>
      <c r="F1" s="80"/>
      <c r="G1" s="80"/>
    </row>
    <row r="2" spans="2:7" ht="21.75" customHeight="1" x14ac:dyDescent="0.25">
      <c r="B2" s="82" t="s">
        <v>292</v>
      </c>
      <c r="C2" s="82"/>
      <c r="D2" s="82"/>
      <c r="E2" s="82"/>
      <c r="F2" s="82"/>
      <c r="G2" s="82"/>
    </row>
    <row r="3" spans="2:7" ht="14.25" thickBot="1" x14ac:dyDescent="0.3">
      <c r="B3" s="83" t="s">
        <v>293</v>
      </c>
      <c r="C3" s="83"/>
      <c r="D3" s="83"/>
      <c r="E3" s="83"/>
      <c r="F3" s="83"/>
      <c r="G3" s="83"/>
    </row>
    <row r="4" spans="2:7" ht="15" customHeight="1" x14ac:dyDescent="0.25">
      <c r="B4" s="48" t="s">
        <v>294</v>
      </c>
      <c r="C4" s="48"/>
      <c r="D4" s="48"/>
      <c r="E4" s="48"/>
      <c r="F4" s="48"/>
      <c r="G4" s="48"/>
    </row>
    <row r="6" spans="2:7" x14ac:dyDescent="0.25">
      <c r="B6" s="5" t="s">
        <v>158</v>
      </c>
      <c r="C6" s="5" t="s">
        <v>259</v>
      </c>
      <c r="D6" s="5" t="s">
        <v>159</v>
      </c>
      <c r="E6" s="5" t="s">
        <v>91</v>
      </c>
    </row>
    <row r="7" spans="2:7" ht="14.25" thickBot="1" x14ac:dyDescent="0.3">
      <c r="B7" s="13" t="s">
        <v>295</v>
      </c>
      <c r="C7" s="64" t="s">
        <v>260</v>
      </c>
      <c r="D7" s="61">
        <v>10000</v>
      </c>
      <c r="E7" s="84" t="s">
        <v>261</v>
      </c>
    </row>
    <row r="8" spans="2:7" ht="14.25" thickBot="1" x14ac:dyDescent="0.3">
      <c r="B8" s="16" t="s">
        <v>296</v>
      </c>
      <c r="C8" s="65" t="s">
        <v>262</v>
      </c>
      <c r="D8" s="62">
        <v>5.7599999999999998E-2</v>
      </c>
      <c r="E8" s="85" t="s">
        <v>263</v>
      </c>
    </row>
    <row r="9" spans="2:7" ht="14.25" thickBot="1" x14ac:dyDescent="0.3">
      <c r="B9" s="13" t="s">
        <v>297</v>
      </c>
      <c r="C9" s="64"/>
      <c r="D9" s="66">
        <v>4.2</v>
      </c>
      <c r="E9" s="84" t="s">
        <v>74</v>
      </c>
    </row>
    <row r="10" spans="2:7" x14ac:dyDescent="0.25">
      <c r="B10" s="16" t="s">
        <v>264</v>
      </c>
      <c r="C10" s="65" t="s">
        <v>265</v>
      </c>
      <c r="D10" s="67">
        <f>D9/12</f>
        <v>0.35000000000000003</v>
      </c>
      <c r="E10" s="85" t="s">
        <v>298</v>
      </c>
    </row>
    <row r="12" spans="2:7" ht="14.25" thickBot="1" x14ac:dyDescent="0.3">
      <c r="B12" s="83" t="s">
        <v>299</v>
      </c>
      <c r="C12" s="83"/>
      <c r="D12" s="83"/>
      <c r="E12" s="83"/>
      <c r="F12" s="83"/>
      <c r="G12" s="83"/>
    </row>
    <row r="13" spans="2:7" x14ac:dyDescent="0.25">
      <c r="B13" s="5" t="s">
        <v>266</v>
      </c>
      <c r="C13" s="5" t="s">
        <v>267</v>
      </c>
      <c r="D13" s="5" t="s">
        <v>159</v>
      </c>
      <c r="E13" s="5" t="s">
        <v>91</v>
      </c>
    </row>
    <row r="14" spans="2:7" x14ac:dyDescent="0.25">
      <c r="B14" s="6" t="s">
        <v>268</v>
      </c>
      <c r="C14" s="68">
        <f>1+D8</f>
        <v>1.0576000000000001</v>
      </c>
      <c r="D14" s="13"/>
      <c r="E14" s="84" t="s">
        <v>269</v>
      </c>
    </row>
    <row r="15" spans="2:7" x14ac:dyDescent="0.25">
      <c r="B15" s="7" t="s">
        <v>270</v>
      </c>
      <c r="C15" s="68">
        <f>C14^D10</f>
        <v>1.0197941228090153</v>
      </c>
      <c r="D15" s="16"/>
      <c r="E15" s="85" t="s">
        <v>300</v>
      </c>
    </row>
    <row r="16" spans="2:7" ht="27" x14ac:dyDescent="0.25">
      <c r="B16" s="6" t="s">
        <v>271</v>
      </c>
      <c r="C16" s="86">
        <f>D7/C15</f>
        <v>9805.9007954027766</v>
      </c>
      <c r="D16" s="13"/>
      <c r="E16" s="84" t="s">
        <v>301</v>
      </c>
    </row>
    <row r="18" spans="2:7" ht="14.25" thickBot="1" x14ac:dyDescent="0.3">
      <c r="B18" s="83" t="s">
        <v>302</v>
      </c>
      <c r="C18" s="83"/>
      <c r="D18" s="83"/>
      <c r="E18" s="83"/>
      <c r="F18" s="83"/>
      <c r="G18" s="83"/>
    </row>
    <row r="19" spans="2:7" ht="15" customHeight="1" x14ac:dyDescent="0.25">
      <c r="B19" s="48" t="s">
        <v>303</v>
      </c>
      <c r="C19" s="48"/>
      <c r="D19" s="48"/>
      <c r="E19" s="48"/>
      <c r="F19" s="48"/>
      <c r="G19" s="48"/>
    </row>
    <row r="21" spans="2:7" x14ac:dyDescent="0.25">
      <c r="B21" s="5" t="s">
        <v>272</v>
      </c>
      <c r="C21" s="5" t="s">
        <v>106</v>
      </c>
      <c r="D21" s="5" t="s">
        <v>91</v>
      </c>
    </row>
    <row r="22" spans="2:7" x14ac:dyDescent="0.25">
      <c r="B22" s="6" t="s">
        <v>273</v>
      </c>
      <c r="C22" s="8" t="s">
        <v>274</v>
      </c>
      <c r="D22" s="84" t="s">
        <v>275</v>
      </c>
    </row>
    <row r="23" spans="2:7" ht="27" x14ac:dyDescent="0.25">
      <c r="B23" s="7" t="s">
        <v>276</v>
      </c>
      <c r="C23" s="9" t="s">
        <v>304</v>
      </c>
      <c r="D23" s="85" t="s">
        <v>277</v>
      </c>
    </row>
    <row r="24" spans="2:7" x14ac:dyDescent="0.25">
      <c r="B24" s="13"/>
      <c r="C24" s="8" t="s">
        <v>305</v>
      </c>
      <c r="D24" s="84" t="s">
        <v>278</v>
      </c>
    </row>
    <row r="25" spans="2:7" ht="27" x14ac:dyDescent="0.25">
      <c r="B25" s="7" t="s">
        <v>279</v>
      </c>
      <c r="C25" s="9" t="s">
        <v>280</v>
      </c>
      <c r="D25" s="85" t="s">
        <v>281</v>
      </c>
    </row>
    <row r="26" spans="2:7" ht="27" x14ac:dyDescent="0.25">
      <c r="B26" s="6" t="s">
        <v>282</v>
      </c>
      <c r="C26" s="8" t="s">
        <v>283</v>
      </c>
      <c r="D26" s="84" t="s">
        <v>284</v>
      </c>
    </row>
    <row r="27" spans="2:7" ht="27" x14ac:dyDescent="0.25">
      <c r="B27" s="7" t="s">
        <v>285</v>
      </c>
      <c r="C27" s="9" t="s">
        <v>286</v>
      </c>
      <c r="D27" s="85" t="s">
        <v>306</v>
      </c>
    </row>
    <row r="28" spans="2:7" ht="27" x14ac:dyDescent="0.25">
      <c r="B28" s="6" t="s">
        <v>287</v>
      </c>
      <c r="C28" s="8" t="s">
        <v>288</v>
      </c>
      <c r="D28" s="84" t="s">
        <v>307</v>
      </c>
    </row>
    <row r="29" spans="2:7" ht="27" x14ac:dyDescent="0.25">
      <c r="B29" s="45" t="s">
        <v>289</v>
      </c>
      <c r="C29" s="45" t="s">
        <v>290</v>
      </c>
      <c r="D29" s="87" t="s">
        <v>308</v>
      </c>
    </row>
    <row r="31" spans="2:7" ht="15" customHeight="1" x14ac:dyDescent="0.25">
      <c r="B31" s="10" t="s">
        <v>309</v>
      </c>
      <c r="C31" s="10"/>
      <c r="D31" s="10"/>
      <c r="E31" s="10"/>
      <c r="F31" s="10"/>
      <c r="G31" s="10"/>
    </row>
    <row r="33" spans="2:7" ht="14.25" thickBot="1" x14ac:dyDescent="0.3">
      <c r="B33" s="83" t="s">
        <v>310</v>
      </c>
      <c r="C33" s="83"/>
      <c r="D33" s="83"/>
      <c r="E33" s="83"/>
      <c r="F33" s="83"/>
      <c r="G33" s="83"/>
    </row>
    <row r="34" spans="2:7" x14ac:dyDescent="0.25">
      <c r="B34" s="88" t="s">
        <v>311</v>
      </c>
      <c r="C34" s="88" t="s">
        <v>312</v>
      </c>
      <c r="D34" s="88" t="s">
        <v>313</v>
      </c>
    </row>
    <row r="35" spans="2:7" x14ac:dyDescent="0.25">
      <c r="B35" s="89">
        <v>0.01</v>
      </c>
      <c r="C35" s="90">
        <f>D7/(1+B35)^D10</f>
        <v>9965.2344147403346</v>
      </c>
      <c r="D35" s="90">
        <f>D7/(1+D8)^D10*(1-D10/(1+D8)*(B35-D8))</f>
        <v>9960.3696940898135</v>
      </c>
    </row>
    <row r="36" spans="2:7" x14ac:dyDescent="0.25">
      <c r="B36" s="89">
        <v>0.02</v>
      </c>
      <c r="C36" s="90">
        <f>D7/(1+B36)^D10</f>
        <v>9930.9304387444099</v>
      </c>
      <c r="D36" s="90">
        <f>D7/(1+D8)^D10*(1-D10/(1+D8)*(B36-D8))</f>
        <v>9927.9182447858147</v>
      </c>
    </row>
    <row r="37" spans="2:7" x14ac:dyDescent="0.25">
      <c r="B37" s="89">
        <v>0.03</v>
      </c>
      <c r="C37" s="90">
        <f>D7/(1+B37)^D10</f>
        <v>9897.0775066296192</v>
      </c>
      <c r="D37" s="90">
        <f>D7/(1+D8)^D10*(1-D10/(1+D8)*(B37-D8))</f>
        <v>9895.466795481816</v>
      </c>
    </row>
    <row r="38" spans="2:7" x14ac:dyDescent="0.25">
      <c r="B38" s="89">
        <v>0.04</v>
      </c>
      <c r="C38" s="90">
        <f>D7/(1+B38)^D10</f>
        <v>9863.6653944150403</v>
      </c>
      <c r="D38" s="90">
        <f>D7/(1+D8)^D10*(1-D10/(1+D8)*(B38-D8))</f>
        <v>9863.0153461778154</v>
      </c>
    </row>
    <row r="39" spans="2:7" x14ac:dyDescent="0.25">
      <c r="B39" s="89">
        <v>0.05</v>
      </c>
      <c r="C39" s="90">
        <f>D7/(1+B39)^D10</f>
        <v>9830.6842053333694</v>
      </c>
      <c r="D39" s="90">
        <f>D7/(1+D8)^D10*(1-D10/(1+D8)*(B39-D8))</f>
        <v>9830.5638968738167</v>
      </c>
    </row>
    <row r="40" spans="2:7" x14ac:dyDescent="0.25">
      <c r="B40" s="89">
        <v>0.06</v>
      </c>
      <c r="C40" s="90">
        <f>D7/(1+B40)^D10</f>
        <v>9798.1243563611461</v>
      </c>
      <c r="D40" s="90">
        <f>D7/(1+D8)^D10*(1-D10/(1+D8)*(B40-D8))</f>
        <v>9798.1124475698161</v>
      </c>
    </row>
    <row r="41" spans="2:7" x14ac:dyDescent="0.25">
      <c r="B41" s="89">
        <v>7.0000000000000007E-2</v>
      </c>
      <c r="C41" s="90">
        <f>D7/(1+B41)^D10</f>
        <v>9765.9765654245712</v>
      </c>
      <c r="D41" s="90">
        <f>D7/(1+D8)^D10*(1-D10/(1+D8)*(B41-D8))</f>
        <v>9765.6609982658174</v>
      </c>
    </row>
    <row r="42" spans="2:7" x14ac:dyDescent="0.25">
      <c r="B42" s="89">
        <v>0.08</v>
      </c>
      <c r="C42" s="90">
        <f>D7/(1+B42)^D10</f>
        <v>9734.2318392410016</v>
      </c>
      <c r="D42" s="90">
        <f>D7/(1+D8)^D10*(1-D10/(1+D8)*(B42-D8))</f>
        <v>9733.2095489618187</v>
      </c>
    </row>
    <row r="43" spans="2:7" x14ac:dyDescent="0.25">
      <c r="B43" s="89">
        <v>0.09</v>
      </c>
      <c r="C43" s="90">
        <f>D7/(1+B43)^D10</f>
        <v>9702.8814617590706</v>
      </c>
      <c r="D43" s="90">
        <f>D7/(1+D8)^D10*(1-D10/(1+D8)*(B43-D8))</f>
        <v>9700.7580996578181</v>
      </c>
    </row>
    <row r="44" spans="2:7" x14ac:dyDescent="0.25">
      <c r="B44" s="89">
        <v>0.1</v>
      </c>
      <c r="C44" s="90">
        <f>D7/(1+B44)^D10</f>
        <v>9671.9169831626677</v>
      </c>
      <c r="D44" s="90">
        <f>D7/(1+D8)^D10*(1-D10/(1+D8)*(B44-D8))</f>
        <v>9668.3066503538194</v>
      </c>
    </row>
  </sheetData>
  <mergeCells count="9">
    <mergeCell ref="B19:G19"/>
    <mergeCell ref="B31:G31"/>
    <mergeCell ref="B33:G33"/>
    <mergeCell ref="B1:G1"/>
    <mergeCell ref="B2:G2"/>
    <mergeCell ref="B3:G3"/>
    <mergeCell ref="B4:G4"/>
    <mergeCell ref="B12:G12"/>
    <mergeCell ref="B18:G18"/>
  </mergeCells>
  <dataValidations count="18">
    <dataValidation allowBlank="1" showInputMessage="1" promptTitle="가격-금리 곡선" prompt="파란 곡선이 실제 가격, 빨간 직선이 MD 근사(접선)임. 곡선의 볼록성이 컨벡시티임." sqref="B33">
      <formula1>0</formula1>
      <formula2>0</formula2>
    </dataValidation>
    <dataValidation allowBlank="1" showInputMessage="1" promptTitle="수정듀레이션" prompt="MD = n/(1+y). 금리 1% 변동 시 가격이 약 MD% 변동함." sqref="C29">
      <formula1>0</formula1>
      <formula2>0</formula2>
    </dataValidation>
    <dataValidation allowBlank="1" showInputMessage="1" promptTitle="가격 치환" prompt="C/(1+y)^n = P이므로 치환함." sqref="C28">
      <formula1>0</formula1>
      <formula2>0</formula2>
    </dataValidation>
    <dataValidation allowBlank="1" showInputMessage="1" promptTitle="지수 분리" prompt="(n+1)승을 n승과 1승으로 분리함." sqref="C27">
      <formula1>0</formula1>
      <formula2>0</formula2>
    </dataValidation>
    <dataValidation allowBlank="1" showInputMessage="1" promptTitle="분수 변환" prompt="음의 지수를 분모로 내려 분수로 표현함." sqref="C26">
      <formula1>0</formula1>
      <formula2>0</formula2>
    </dataValidation>
    <dataValidation allowBlank="1" showInputMessage="1" promptTitle="미분 결과" prompt="거듭제곱 법칙을 그대로 적용한 결과임." sqref="C25">
      <formula1>0</formula1>
      <formula2>0</formula2>
    </dataValidation>
    <dataValidation allowBlank="1" showInputMessage="1" promptTitle="지수 변환" prompt="지수에서 1을 빼면 -(n+1)이 됨." sqref="C24">
      <formula1>0</formula1>
      <formula2>0</formula2>
    </dataValidation>
    <dataValidation allowBlank="1" showInputMessage="1" promptTitle="법칙 적용" prompt="지수 -n이 계수로 앞에 내려옴." sqref="C23">
      <formula1>0</formula1>
      <formula2>0</formula2>
    </dataValidation>
    <dataValidation allowBlank="1" showInputMessage="1" promptTitle="원래 함수" prompt="미분 대상이 되는 채권 가격 공식임." sqref="C22">
      <formula1>0</formula1>
      <formula2>0</formula2>
    </dataValidation>
    <dataValidation allowBlank="1" showInputMessage="1" promptTitle="미분 유도" prompt="STEP 2의 거듭제곱 법칙을 채권 공식에 적용하는 과정임." sqref="B18">
      <formula1>0</formula1>
      <formula2>0</formula2>
    </dataValidation>
    <dataValidation allowBlank="1" showInputMessage="1" promptTitle="채권 가격" prompt="수식: =D7/C15. 이론가격임." sqref="C16">
      <formula1>0</formula1>
      <formula2>0</formula2>
    </dataValidation>
    <dataValidation allowBlank="1" showInputMessage="1" promptTitle="할인계수" prompt="수식: =C14^D10." sqref="C15">
      <formula1>0</formula1>
      <formula2>0</formula2>
    </dataValidation>
    <dataValidation allowBlank="1" showInputMessage="1" promptTitle="1+YTM" prompt="수식: =1+D8." sqref="C14">
      <formula1>0</formula1>
      <formula2>0</formula2>
    </dataValidation>
    <dataValidation allowBlank="1" showInputMessage="1" promptTitle="잔존연수" prompt="수식: =D9/12. 개월을 연수로 변환함." sqref="D10">
      <formula1>0</formula1>
      <formula2>0</formula2>
    </dataValidation>
    <dataValidation allowBlank="1" showInputMessage="1" promptTitle="잔존개월" prompt="만기까지 남은 개월수임." sqref="D9">
      <formula1>0</formula1>
      <formula2>0</formula2>
    </dataValidation>
    <dataValidation allowBlank="1" showInputMessage="1" promptTitle="YTM" prompt="만기수익률. 시장금리에 해당함." sqref="D8">
      <formula1>0</formula1>
      <formula2>0</formula2>
    </dataValidation>
    <dataValidation allowBlank="1" showInputMessage="1" promptTitle="액면가" prompt="만기 시 상환금액임." sqref="D7">
      <formula1>0</formula1>
      <formula2>0</formula2>
    </dataValidation>
    <dataValidation allowBlank="1" showInputMessage="1" promptTitle="채권 가격 공식" prompt="무이표채의 가격 공식부터 시작함. 이표채는 각 현금흐름을 합산하면 동일 원리임." sqref="B3">
      <formula1>0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1:I41"/>
  <sheetViews>
    <sheetView showGridLines="0" workbookViewId="0">
      <selection activeCell="I31" sqref="I31"/>
    </sheetView>
  </sheetViews>
  <sheetFormatPr defaultColWidth="8.7109375" defaultRowHeight="13.5" x14ac:dyDescent="0.25"/>
  <cols>
    <col min="1" max="1" width="2" style="81" customWidth="1"/>
    <col min="2" max="2" width="16" style="81" customWidth="1"/>
    <col min="3" max="3" width="14" style="81" customWidth="1"/>
    <col min="4" max="6" width="16" style="81" customWidth="1"/>
    <col min="7" max="8" width="18" style="81" customWidth="1"/>
    <col min="9" max="9" width="14" style="81" customWidth="1"/>
    <col min="10" max="16384" width="8.7109375" style="81"/>
  </cols>
  <sheetData>
    <row r="1" spans="2:9" x14ac:dyDescent="0.25">
      <c r="B1" s="80" t="s">
        <v>316</v>
      </c>
      <c r="C1" s="80"/>
      <c r="D1" s="80"/>
      <c r="E1" s="80"/>
      <c r="F1" s="80"/>
      <c r="G1" s="80"/>
    </row>
    <row r="2" spans="2:9" ht="21.75" customHeight="1" x14ac:dyDescent="0.25">
      <c r="B2" s="82" t="s">
        <v>314</v>
      </c>
      <c r="C2" s="82"/>
      <c r="D2" s="82"/>
      <c r="E2" s="82"/>
      <c r="F2" s="82"/>
      <c r="G2" s="82"/>
    </row>
    <row r="3" spans="2:9" ht="14.25" thickBot="1" x14ac:dyDescent="0.3">
      <c r="B3" s="83" t="s">
        <v>317</v>
      </c>
      <c r="C3" s="83"/>
      <c r="D3" s="83"/>
      <c r="E3" s="83"/>
    </row>
    <row r="4" spans="2:9" ht="14.25" thickBot="1" x14ac:dyDescent="0.3">
      <c r="B4" s="69" t="s">
        <v>318</v>
      </c>
      <c r="C4" s="70">
        <v>10000</v>
      </c>
    </row>
    <row r="5" spans="2:9" ht="14.25" thickBot="1" x14ac:dyDescent="0.3">
      <c r="B5" s="69" t="s">
        <v>315</v>
      </c>
      <c r="C5" s="71">
        <v>5.7599999999999998E-2</v>
      </c>
    </row>
    <row r="6" spans="2:9" ht="14.25" thickBot="1" x14ac:dyDescent="0.3">
      <c r="B6" s="69" t="s">
        <v>297</v>
      </c>
      <c r="C6" s="72">
        <v>4.2</v>
      </c>
    </row>
    <row r="7" spans="2:9" x14ac:dyDescent="0.25">
      <c r="B7" s="69" t="s">
        <v>264</v>
      </c>
      <c r="C7" s="73">
        <f>C6/12</f>
        <v>0.35000000000000003</v>
      </c>
    </row>
    <row r="8" spans="2:9" x14ac:dyDescent="0.25">
      <c r="B8" s="69" t="s">
        <v>319</v>
      </c>
      <c r="C8" s="73">
        <f>C7/(1+C5)</f>
        <v>0.33093797276853254</v>
      </c>
    </row>
    <row r="10" spans="2:9" ht="14.25" thickBot="1" x14ac:dyDescent="0.3">
      <c r="B10" s="83" t="s">
        <v>320</v>
      </c>
      <c r="C10" s="83"/>
      <c r="D10" s="83"/>
      <c r="E10" s="83"/>
      <c r="F10" s="83"/>
      <c r="G10" s="83"/>
      <c r="H10" s="83"/>
      <c r="I10" s="83"/>
    </row>
    <row r="11" spans="2:9" x14ac:dyDescent="0.25">
      <c r="B11" s="5" t="s">
        <v>321</v>
      </c>
      <c r="C11" s="5" t="s">
        <v>322</v>
      </c>
      <c r="D11" s="5" t="s">
        <v>323</v>
      </c>
      <c r="E11" s="5" t="s">
        <v>324</v>
      </c>
      <c r="F11" s="5" t="s">
        <v>325</v>
      </c>
      <c r="G11" s="5" t="s">
        <v>326</v>
      </c>
      <c r="H11" s="5" t="s">
        <v>327</v>
      </c>
      <c r="I11" s="5" t="s">
        <v>328</v>
      </c>
    </row>
    <row r="12" spans="2:9" ht="14.25" thickBot="1" x14ac:dyDescent="0.3">
      <c r="B12" s="61">
        <v>-100</v>
      </c>
      <c r="C12" s="74">
        <f>C5+B12/10000</f>
        <v>4.7599999999999996E-2</v>
      </c>
      <c r="D12" s="75">
        <f>C4/(1+C12)^C7</f>
        <v>9838.5609083377949</v>
      </c>
      <c r="E12" s="75">
        <f>D12-D15</f>
        <v>32.660112935018333</v>
      </c>
      <c r="F12" s="67">
        <f>IF(D15=0,0,E12/D15*100)</f>
        <v>0.33306591221410398</v>
      </c>
      <c r="G12" s="67">
        <f>-C8*B12/100</f>
        <v>0.33093797276853254</v>
      </c>
      <c r="H12" s="75">
        <f>G12/100*D15</f>
        <v>32.451449303999361</v>
      </c>
      <c r="I12" s="67">
        <f t="shared" ref="I12:I19" si="0">ABS(E12-H12)</f>
        <v>0.20866363101897178</v>
      </c>
    </row>
    <row r="13" spans="2:9" ht="14.25" thickBot="1" x14ac:dyDescent="0.3">
      <c r="B13" s="61">
        <v>-50</v>
      </c>
      <c r="C13" s="74">
        <f>C5+B13/10000</f>
        <v>5.2600000000000001E-2</v>
      </c>
      <c r="D13" s="75">
        <f>C4/(1+C13)^C7</f>
        <v>9822.1784919055535</v>
      </c>
      <c r="E13" s="75">
        <f>D13-D15</f>
        <v>16.277696502776962</v>
      </c>
      <c r="F13" s="67">
        <f>IF(D15=0,0,E13/D15*100)</f>
        <v>0.16599899226400808</v>
      </c>
      <c r="G13" s="67">
        <f>-C8*B13/100</f>
        <v>0.16546898638426627</v>
      </c>
      <c r="H13" s="75">
        <f>G13/100*D15</f>
        <v>16.225724651999681</v>
      </c>
      <c r="I13" s="67">
        <f t="shared" si="0"/>
        <v>5.1971850777281503E-2</v>
      </c>
    </row>
    <row r="14" spans="2:9" ht="14.25" thickBot="1" x14ac:dyDescent="0.3">
      <c r="B14" s="61">
        <v>-10</v>
      </c>
      <c r="C14" s="74">
        <f>C5+B14/10000</f>
        <v>5.6599999999999998E-2</v>
      </c>
      <c r="D14" s="75">
        <f>C4/(1+C14)^C7</f>
        <v>9809.1480130417003</v>
      </c>
      <c r="E14" s="75">
        <f>D14-D15</f>
        <v>3.2472176389237575</v>
      </c>
      <c r="F14" s="67">
        <f>IF(D15=0,0,E14/D15*100)</f>
        <v>3.3114934636562149E-2</v>
      </c>
      <c r="G14" s="67">
        <f>-C8*B14/100</f>
        <v>3.309379727685325E-2</v>
      </c>
      <c r="H14" s="75">
        <f>G14/100*D15</f>
        <v>3.2451449303999351</v>
      </c>
      <c r="I14" s="67">
        <f t="shared" si="0"/>
        <v>2.072708523822353E-3</v>
      </c>
    </row>
    <row r="15" spans="2:9" ht="14.25" thickBot="1" x14ac:dyDescent="0.3">
      <c r="B15" s="76">
        <v>0</v>
      </c>
      <c r="C15" s="77">
        <f>C5+B15/10000</f>
        <v>5.7599999999999998E-2</v>
      </c>
      <c r="D15" s="78">
        <f>C4/(1+C15)^C7</f>
        <v>9805.9007954027766</v>
      </c>
      <c r="E15" s="78">
        <f>D15-D15</f>
        <v>0</v>
      </c>
      <c r="F15" s="79">
        <f>IF(D15=0,0,E15/D15*100)</f>
        <v>0</v>
      </c>
      <c r="G15" s="79">
        <f>-C8*B15/100</f>
        <v>0</v>
      </c>
      <c r="H15" s="78">
        <f>G15/100*D15</f>
        <v>0</v>
      </c>
      <c r="I15" s="79">
        <f t="shared" si="0"/>
        <v>0</v>
      </c>
    </row>
    <row r="16" spans="2:9" ht="14.25" thickBot="1" x14ac:dyDescent="0.3">
      <c r="B16" s="61">
        <v>10</v>
      </c>
      <c r="C16" s="74">
        <f>C5+B16/10000</f>
        <v>5.8599999999999999E-2</v>
      </c>
      <c r="D16" s="75">
        <f>C4/(1+C16)^C7</f>
        <v>9802.6577201127839</v>
      </c>
      <c r="E16" s="75">
        <f>D16-D15</f>
        <v>-3.2430752899927029</v>
      </c>
      <c r="F16" s="67">
        <f>IF(D15=0,0,E16/D15*100)</f>
        <v>-3.3072691205617018E-2</v>
      </c>
      <c r="G16" s="67">
        <f>-C8*B16/100</f>
        <v>-3.309379727685325E-2</v>
      </c>
      <c r="H16" s="75">
        <f>G16/100*D15</f>
        <v>-3.2451449303999351</v>
      </c>
      <c r="I16" s="67">
        <f t="shared" si="0"/>
        <v>2.0696404072322316E-3</v>
      </c>
    </row>
    <row r="17" spans="2:9" ht="14.25" thickBot="1" x14ac:dyDescent="0.3">
      <c r="B17" s="61">
        <v>50</v>
      </c>
      <c r="C17" s="74">
        <f>C5+B17/10000</f>
        <v>6.2600000000000003E-2</v>
      </c>
      <c r="D17" s="75">
        <f>C4/(1+C17)^C7</f>
        <v>9789.7266590809722</v>
      </c>
      <c r="E17" s="75">
        <f>D17-D15</f>
        <v>-16.174136321804326</v>
      </c>
      <c r="F17" s="67">
        <f>IF(D15=0,0,E17/D15*100)</f>
        <v>-0.16494289162487877</v>
      </c>
      <c r="G17" s="67">
        <f>-C8*B17/100</f>
        <v>-0.16546898638426627</v>
      </c>
      <c r="H17" s="75">
        <f>G17/100*D15</f>
        <v>-16.225724651999681</v>
      </c>
      <c r="I17" s="67">
        <f t="shared" si="0"/>
        <v>5.1588330195354359E-2</v>
      </c>
    </row>
    <row r="18" spans="2:9" ht="14.25" thickBot="1" x14ac:dyDescent="0.3">
      <c r="B18" s="61">
        <v>100</v>
      </c>
      <c r="C18" s="74">
        <f>C5+B18/10000</f>
        <v>6.7599999999999993E-2</v>
      </c>
      <c r="D18" s="75">
        <f>C4/(1+C18)^C7</f>
        <v>9773.6549414152341</v>
      </c>
      <c r="E18" s="75">
        <f>D18-D15</f>
        <v>-32.245853987542432</v>
      </c>
      <c r="F18" s="67">
        <f>IF(D15=0,0,E18/D15*100)</f>
        <v>-0.32884132381453424</v>
      </c>
      <c r="G18" s="67">
        <f>-C8*B18/100</f>
        <v>-0.33093797276853254</v>
      </c>
      <c r="H18" s="75">
        <f>G18/100*D15</f>
        <v>-32.451449303999361</v>
      </c>
      <c r="I18" s="67">
        <f t="shared" si="0"/>
        <v>0.20559531645692886</v>
      </c>
    </row>
    <row r="19" spans="2:9" ht="14.25" thickBot="1" x14ac:dyDescent="0.3">
      <c r="B19" s="61">
        <v>200</v>
      </c>
      <c r="C19" s="74">
        <f>C5+B19/10000</f>
        <v>7.7600000000000002E-2</v>
      </c>
      <c r="D19" s="75">
        <f>C4/(1+C19)^C7</f>
        <v>9741.8142848588814</v>
      </c>
      <c r="E19" s="75">
        <f>D19-D15</f>
        <v>-64.086510543895201</v>
      </c>
      <c r="F19" s="67">
        <f>IF(D15=0,0,E19/D15*100)</f>
        <v>-0.65355046804002315</v>
      </c>
      <c r="G19" s="67">
        <f>-C8*B19/100</f>
        <v>-0.66187594553706508</v>
      </c>
      <c r="H19" s="75">
        <f>G19/100*D15</f>
        <v>-64.902898607998722</v>
      </c>
      <c r="I19" s="67">
        <f t="shared" si="0"/>
        <v>0.81638806410352061</v>
      </c>
    </row>
    <row r="20" spans="2:9" ht="15" customHeight="1" x14ac:dyDescent="0.25">
      <c r="B20" s="10" t="s">
        <v>329</v>
      </c>
      <c r="C20" s="10"/>
      <c r="D20" s="10"/>
      <c r="E20" s="10"/>
      <c r="F20" s="10"/>
      <c r="G20" s="10"/>
    </row>
    <row r="21" spans="2:9" ht="15" customHeight="1" x14ac:dyDescent="0.25">
      <c r="B21" s="48" t="s">
        <v>330</v>
      </c>
      <c r="C21" s="48"/>
      <c r="D21" s="48"/>
      <c r="E21" s="48"/>
      <c r="F21" s="48"/>
      <c r="G21" s="48"/>
    </row>
    <row r="23" spans="2:9" ht="14.25" thickBot="1" x14ac:dyDescent="0.3">
      <c r="B23" s="83" t="s">
        <v>331</v>
      </c>
      <c r="C23" s="83"/>
      <c r="D23" s="83"/>
      <c r="E23" s="83"/>
      <c r="F23" s="83"/>
      <c r="G23" s="83"/>
      <c r="H23" s="83"/>
      <c r="I23" s="83"/>
    </row>
    <row r="41" spans="2:9" ht="14.25" thickBot="1" x14ac:dyDescent="0.3">
      <c r="B41" s="83" t="s">
        <v>332</v>
      </c>
      <c r="C41" s="83"/>
      <c r="D41" s="83"/>
      <c r="E41" s="83"/>
      <c r="F41" s="83"/>
      <c r="G41" s="83"/>
      <c r="H41" s="83"/>
      <c r="I41" s="83"/>
    </row>
  </sheetData>
  <mergeCells count="8">
    <mergeCell ref="B23:I23"/>
    <mergeCell ref="B41:I41"/>
    <mergeCell ref="B1:G1"/>
    <mergeCell ref="B2:G2"/>
    <mergeCell ref="B3:E3"/>
    <mergeCell ref="B10:I10"/>
    <mergeCell ref="B20:G20"/>
    <mergeCell ref="B21:G21"/>
  </mergeCells>
  <dataValidations count="11">
    <dataValidation allowBlank="1" showInputMessage="1" promptTitle="비교 그래프" prompt="파란선=실제변화, 빨간점선=MD추정. 금리변동이 클수록 두 선의 차이(오차)가 벌어짐." sqref="B23">
      <formula1>0</formula1>
      <formula2>0</formula2>
    </dataValidation>
    <dataValidation allowBlank="1" showInputMessage="1" promptTitle="컨벡시티" prompt="큰 금리 변동에는 컨벡시티(Convexity) 보정이 필요함. 2차 미분에 해당함." sqref="B21">
      <formula1>0</formula1>
      <formula2>0</formula2>
    </dataValidation>
    <dataValidation allowBlank="1" showInputMessage="1" promptTitle="오차 해석" prompt="금리 변동이 작을수록 오차가 0에 가까움. 미분이 작은 변화의 근사이기 때문임." sqref="I12">
      <formula1>0</formula1>
      <formula2>0</formula2>
    </dataValidation>
    <dataValidation allowBlank="1" showInputMessage="1" promptTitle="기준점" prompt="금리 변동 없음. 이 행의 가격이 기준가격이 됨." sqref="B15">
      <formula1>0</formula1>
      <formula2>0</formula2>
    </dataValidation>
    <dataValidation allowBlank="1" showInputMessage="1" promptTitle="비교 검증" prompt="금리를 변동시켜 실제 가격과 MD 추정값을 비교함." sqref="B10">
      <formula1>0</formula1>
      <formula2>0</formula2>
    </dataValidation>
    <dataValidation allowBlank="1" showInputMessage="1" promptTitle="MD" prompt="수식: =C7/(1+C5)." sqref="C8">
      <formula1>0</formula1>
      <formula2>0</formula2>
    </dataValidation>
    <dataValidation allowBlank="1" showInputMessage="1" promptTitle="잔존연수" prompt="수식: =C6/12." sqref="C7">
      <formula1>0</formula1>
      <formula2>0</formula2>
    </dataValidation>
    <dataValidation allowBlank="1" showInputMessage="1" promptTitle="YTM" prompt="만기수익률임." sqref="C5">
      <formula1>0</formula1>
      <formula2>0</formula2>
    </dataValidation>
    <dataValidation allowBlank="1" showInputMessage="1" promptTitle="검증 대상" prompt="실제 채권 종목을 사용한 검증임. 입력값 변경으로 다른 채권에도 적용 가능함." sqref="B3">
      <formula1>0</formula1>
      <formula2>0</formula2>
    </dataValidation>
    <dataValidation allowBlank="1" showInputMessage="1" promptTitle="잔존개월" prompt="만기까지 남은 개월수임." sqref="C6">
      <formula1>0</formula1>
      <formula2>0</formula2>
    </dataValidation>
    <dataValidation allowBlank="1" showInputMessage="1" promptTitle="액면가" prompt="만기 시 상환금액임." sqref="C4">
      <formula1>0</formula1>
      <formula2>0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G22"/>
  <sheetViews>
    <sheetView showGridLines="0" workbookViewId="0">
      <selection activeCell="E26" sqref="E26"/>
    </sheetView>
  </sheetViews>
  <sheetFormatPr defaultColWidth="8.7109375" defaultRowHeight="13.5" x14ac:dyDescent="0.25"/>
  <cols>
    <col min="1" max="1" width="2" style="81" customWidth="1"/>
    <col min="2" max="2" width="8" style="81" customWidth="1"/>
    <col min="3" max="3" width="22" style="81" customWidth="1"/>
    <col min="4" max="4" width="34" style="81" customWidth="1"/>
    <col min="5" max="5" width="26" style="81" customWidth="1"/>
    <col min="6" max="16384" width="8.7109375" style="81"/>
  </cols>
  <sheetData>
    <row r="1" spans="2:7" x14ac:dyDescent="0.25">
      <c r="B1" s="80" t="s">
        <v>333</v>
      </c>
      <c r="C1" s="80"/>
      <c r="D1" s="80"/>
      <c r="E1" s="80"/>
      <c r="F1" s="80"/>
      <c r="G1" s="80"/>
    </row>
    <row r="2" spans="2:7" ht="21.75" customHeight="1" x14ac:dyDescent="0.25">
      <c r="B2" s="82" t="s">
        <v>357</v>
      </c>
      <c r="C2" s="82"/>
      <c r="D2" s="82"/>
      <c r="E2" s="82"/>
      <c r="F2" s="82"/>
      <c r="G2" s="82"/>
    </row>
    <row r="3" spans="2:7" ht="14.25" thickBot="1" x14ac:dyDescent="0.3">
      <c r="B3" s="83" t="s">
        <v>334</v>
      </c>
      <c r="C3" s="83"/>
      <c r="D3" s="83"/>
      <c r="E3" s="83"/>
    </row>
    <row r="4" spans="2:7" x14ac:dyDescent="0.25">
      <c r="B4" s="5" t="s">
        <v>5</v>
      </c>
      <c r="C4" s="5" t="s">
        <v>335</v>
      </c>
      <c r="D4" s="5" t="s">
        <v>336</v>
      </c>
      <c r="E4" s="5" t="s">
        <v>337</v>
      </c>
    </row>
    <row r="5" spans="2:7" ht="27" x14ac:dyDescent="0.25">
      <c r="B5" s="11" t="s">
        <v>1</v>
      </c>
      <c r="C5" s="6" t="s">
        <v>174</v>
      </c>
      <c r="D5" s="13" t="s">
        <v>358</v>
      </c>
      <c r="E5" s="14" t="s">
        <v>359</v>
      </c>
    </row>
    <row r="6" spans="2:7" x14ac:dyDescent="0.25">
      <c r="B6" s="11" t="s">
        <v>2</v>
      </c>
      <c r="C6" s="7" t="s">
        <v>338</v>
      </c>
      <c r="D6" s="16" t="s">
        <v>339</v>
      </c>
      <c r="E6" s="17" t="s">
        <v>340</v>
      </c>
    </row>
    <row r="7" spans="2:7" x14ac:dyDescent="0.25">
      <c r="B7" s="11" t="s">
        <v>3</v>
      </c>
      <c r="C7" s="6" t="s">
        <v>275</v>
      </c>
      <c r="D7" s="13" t="s">
        <v>274</v>
      </c>
      <c r="E7" s="14" t="s">
        <v>341</v>
      </c>
    </row>
    <row r="8" spans="2:7" x14ac:dyDescent="0.25">
      <c r="B8" s="11" t="s">
        <v>4</v>
      </c>
      <c r="C8" s="7" t="s">
        <v>342</v>
      </c>
      <c r="D8" s="16" t="s">
        <v>343</v>
      </c>
      <c r="E8" s="17" t="s">
        <v>344</v>
      </c>
    </row>
    <row r="9" spans="2:7" ht="27" x14ac:dyDescent="0.25">
      <c r="B9" s="11" t="s">
        <v>345</v>
      </c>
      <c r="C9" s="6" t="s">
        <v>319</v>
      </c>
      <c r="D9" s="13" t="s">
        <v>346</v>
      </c>
      <c r="E9" s="14" t="s">
        <v>360</v>
      </c>
    </row>
    <row r="10" spans="2:7" ht="27" x14ac:dyDescent="0.25">
      <c r="B10" s="11" t="s">
        <v>347</v>
      </c>
      <c r="C10" s="7" t="s">
        <v>348</v>
      </c>
      <c r="D10" s="16" t="s">
        <v>349</v>
      </c>
      <c r="E10" s="17" t="s">
        <v>361</v>
      </c>
    </row>
    <row r="11" spans="2:7" ht="27" x14ac:dyDescent="0.25">
      <c r="B11" s="11" t="s">
        <v>350</v>
      </c>
      <c r="C11" s="6" t="s">
        <v>351</v>
      </c>
      <c r="D11" s="13" t="s">
        <v>362</v>
      </c>
      <c r="E11" s="14" t="s">
        <v>363</v>
      </c>
    </row>
    <row r="13" spans="2:7" ht="14.25" thickBot="1" x14ac:dyDescent="0.3">
      <c r="B13" s="83" t="s">
        <v>364</v>
      </c>
      <c r="C13" s="83"/>
      <c r="D13" s="83"/>
      <c r="E13" s="83"/>
    </row>
    <row r="14" spans="2:7" x14ac:dyDescent="0.25">
      <c r="B14" s="5" t="s">
        <v>5</v>
      </c>
      <c r="C14" s="5" t="s">
        <v>352</v>
      </c>
      <c r="D14" s="5" t="s">
        <v>267</v>
      </c>
      <c r="E14" s="5" t="s">
        <v>337</v>
      </c>
    </row>
    <row r="15" spans="2:7" x14ac:dyDescent="0.25">
      <c r="B15" s="6" t="s">
        <v>353</v>
      </c>
      <c r="C15" s="13" t="s">
        <v>365</v>
      </c>
      <c r="D15" s="67">
        <f>(4.2/12)/(1+0.0576)</f>
        <v>0.33093797276853254</v>
      </c>
      <c r="E15" s="13"/>
    </row>
    <row r="16" spans="2:7" ht="27.75" thickBot="1" x14ac:dyDescent="0.3">
      <c r="B16" s="7" t="s">
        <v>354</v>
      </c>
      <c r="C16" s="16" t="s">
        <v>355</v>
      </c>
      <c r="D16" s="35">
        <v>0.01</v>
      </c>
      <c r="E16" s="16"/>
    </row>
    <row r="17" spans="2:7" ht="27" x14ac:dyDescent="0.25">
      <c r="B17" s="6" t="s">
        <v>356</v>
      </c>
      <c r="C17" s="13" t="s">
        <v>366</v>
      </c>
      <c r="D17" s="74">
        <f>-D15*D16</f>
        <v>-3.3093797276853255E-3</v>
      </c>
      <c r="E17" s="13"/>
    </row>
    <row r="18" spans="2:7" ht="27.75" thickBot="1" x14ac:dyDescent="0.3">
      <c r="B18" s="7" t="s">
        <v>367</v>
      </c>
      <c r="C18" s="16"/>
      <c r="D18" s="61">
        <v>5</v>
      </c>
      <c r="E18" s="16"/>
    </row>
    <row r="19" spans="2:7" ht="27" x14ac:dyDescent="0.25">
      <c r="B19" s="6" t="s">
        <v>368</v>
      </c>
      <c r="C19" s="13" t="s">
        <v>369</v>
      </c>
      <c r="D19" s="95">
        <f>D18*D17*10000</f>
        <v>-165.46898638426629</v>
      </c>
      <c r="E19" s="13"/>
    </row>
    <row r="21" spans="2:7" ht="15" customHeight="1" x14ac:dyDescent="0.25">
      <c r="B21" s="10" t="s">
        <v>370</v>
      </c>
      <c r="C21" s="10"/>
      <c r="D21" s="10"/>
      <c r="E21" s="10"/>
      <c r="F21" s="10"/>
      <c r="G21" s="10"/>
    </row>
    <row r="22" spans="2:7" ht="15" customHeight="1" x14ac:dyDescent="0.25">
      <c r="B22" s="48" t="s">
        <v>371</v>
      </c>
      <c r="C22" s="48"/>
      <c r="D22" s="48"/>
      <c r="E22" s="48"/>
      <c r="F22" s="48"/>
      <c r="G22" s="48"/>
    </row>
  </sheetData>
  <mergeCells count="6">
    <mergeCell ref="B1:G1"/>
    <mergeCell ref="B2:G2"/>
    <mergeCell ref="B3:E3"/>
    <mergeCell ref="B13:E13"/>
    <mergeCell ref="B21:G21"/>
    <mergeCell ref="B22:G22"/>
  </mergeCells>
  <dataValidations count="12">
    <dataValidation allowBlank="1" showInputMessage="1" promptTitle="손익 계산" prompt="수식: =D18*D17*10000." sqref="D19">
      <formula1>0</formula1>
      <formula2>0</formula2>
    </dataValidation>
    <dataValidation allowBlank="1" showInputMessage="1" promptTitle="투자금" prompt="투자 원금. 변경 가능함." sqref="D18">
      <formula1>0</formula1>
      <formula2>0</formula2>
    </dataValidation>
    <dataValidation allowBlank="1" showInputMessage="1" promptTitle="변화율" prompt="수식: =-D15*D16." sqref="D17">
      <formula1>0</formula1>
      <formula2>0</formula2>
    </dataValidation>
    <dataValidation allowBlank="1" showInputMessage="1" promptTitle="금리 충격" prompt="+100bp = 금리 1%p 상승 시나리오임." sqref="D16">
      <formula1>0</formula1>
      <formula2>0</formula2>
    </dataValidation>
    <dataValidation allowBlank="1" showInputMessage="1" promptTitle="MD 계산" prompt="수식: =(4.2/12)/(1+0.0576)." sqref="D15">
      <formula1>0</formula1>
      <formula2>0</formula2>
    </dataValidation>
    <dataValidation allowBlank="1" showInputMessage="1" promptTitle="최종" prompt="모든 단계를 종합한 최종 결과임." sqref="C11">
      <formula1>0</formula1>
      <formula2>0</formula2>
    </dataValidation>
    <dataValidation allowBlank="1" showInputMessage="1" promptTitle="적용" prompt="포트폴리오 시뮬레이터의 핵심 계산임." sqref="C10">
      <formula1>0</formula1>
      <formula2>0</formula2>
    </dataValidation>
    <dataValidation allowBlank="1" showInputMessage="1" promptTitle="시트 참조" prompt="시트 '4_수치검증'에서 검증함." sqref="C9">
      <formula1>0</formula1>
      <formula2>0</formula2>
    </dataValidation>
    <dataValidation allowBlank="1" showInputMessage="1" promptTitle="시트 참조" prompt="시트 '3_채권가격미분' 후반부에서 다룸." sqref="C8">
      <formula1>0</formula1>
      <formula2>0</formula2>
    </dataValidation>
    <dataValidation allowBlank="1" showInputMessage="1" promptTitle="시트 참조" prompt="시트 '3_채권가격미분' 전반부에서 다룸." sqref="C7">
      <formula1>0</formula1>
      <formula2>0</formula2>
    </dataValidation>
    <dataValidation allowBlank="1" showInputMessage="1" promptTitle="시트 참조" prompt="시트 '2_거듭제곱법칙'에서 다룸." sqref="C6">
      <formula1>0</formula1>
      <formula2>0</formula2>
    </dataValidation>
    <dataValidation allowBlank="1" showInputMessage="1" promptTitle="시트 참조" prompt="시트 '1_미분기초'에서 다룸." sqref="C5">
      <formula1>0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0_학습가이드</vt:lpstr>
      <vt:lpstr>1_미분기초</vt:lpstr>
      <vt:lpstr>2_거듭제곱법칙</vt:lpstr>
      <vt:lpstr>3_채권가격미분</vt:lpstr>
      <vt:lpstr>4_수치검증</vt:lpstr>
      <vt:lpstr>5_전체요약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2026-04-01T14:23:55Z</dcterms:modified>
</cp:coreProperties>
</file>